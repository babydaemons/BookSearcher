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\Desktop\"/>
    </mc:Choice>
  </mc:AlternateContent>
  <xr:revisionPtr revIDLastSave="0" documentId="13_ncr:1_{7E2E3F0E-D066-44F3-B554-6BB01FFBED50}" xr6:coauthVersionLast="47" xr6:coauthVersionMax="47" xr10:uidLastSave="{00000000-0000-0000-0000-000000000000}"/>
  <bookViews>
    <workbookView xWindow="32655" yWindow="2160" windowWidth="25785" windowHeight="14265" activeTab="1" xr2:uid="{00000000-000D-0000-FFFF-FFFF00000000}"/>
  </bookViews>
  <sheets>
    <sheet name="出力CSVパターン１" sheetId="3" r:id="rId1"/>
    <sheet name="出力CSVパターン2" sheetId="7" r:id="rId2"/>
    <sheet name="共通CSV出力1" sheetId="4" r:id="rId3"/>
    <sheet name="共通CSV出力2" sheetId="5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3" i="4" l="1"/>
  <c r="N3" i="4"/>
  <c r="G4" i="7" l="1"/>
  <c r="G4" i="3" l="1"/>
</calcChain>
</file>

<file path=xl/sharedStrings.xml><?xml version="1.0" encoding="utf-8"?>
<sst xmlns="http://schemas.openxmlformats.org/spreadsheetml/2006/main" count="388" uniqueCount="146">
  <si>
    <t>商品名</t>
  </si>
  <si>
    <t>TemplateType=InventoryLoader</t>
  </si>
  <si>
    <t>Version=2020.0805</t>
  </si>
  <si>
    <r>
      <t>この行は</t>
    </r>
    <r>
      <rPr>
        <b/>
        <sz val="11"/>
        <rFont val="Verdana"/>
        <family val="2"/>
      </rPr>
      <t>Amazon</t>
    </r>
    <r>
      <rPr>
        <b/>
        <sz val="11"/>
        <rFont val="ＭＳ Ｐゴシック"/>
        <family val="3"/>
        <charset val="128"/>
      </rPr>
      <t>が使用しますので変更や削除しないでください。</t>
    </r>
  </si>
  <si>
    <t>商品管理番号</t>
  </si>
  <si>
    <t>商品コード(JANコード等)</t>
    <phoneticPr fontId="6"/>
  </si>
  <si>
    <t>商品コードのタイプ</t>
  </si>
  <si>
    <t>使用しない支払い方法</t>
  </si>
  <si>
    <t xml:space="preserve"> 配送パターン</t>
  </si>
  <si>
    <t>販売価格</t>
  </si>
  <si>
    <t>ポイントパーセント</t>
  </si>
  <si>
    <t>販売価格の下限設定</t>
    <phoneticPr fontId="7"/>
  </si>
  <si>
    <t>販売価格の上限設定</t>
    <phoneticPr fontId="7"/>
  </si>
  <si>
    <t>商品のコンディション</t>
  </si>
  <si>
    <t>在庫数</t>
  </si>
  <si>
    <t>登録/削除</t>
  </si>
  <si>
    <t>海外配送</t>
  </si>
  <si>
    <t>商品タックスコード</t>
  </si>
  <si>
    <t>フルフィルメントセンターID</t>
  </si>
  <si>
    <t>出荷作業日数</t>
  </si>
  <si>
    <t>"電池の有無"</t>
  </si>
  <si>
    <t>"電池付属"</t>
  </si>
  <si>
    <t>"バッテリーセルタイプ"</t>
  </si>
  <si>
    <t>"電池のタイプ"</t>
  </si>
  <si>
    <t>"付属バッテリ個数"</t>
  </si>
  <si>
    <t>電池の重量(グラム)</t>
  </si>
  <si>
    <t>"リチウムイオン電池単数"</t>
  </si>
  <si>
    <t>"リチウムメタル電池単数"</t>
  </si>
  <si>
    <t>"リチウム電池パッケージ"</t>
  </si>
  <si>
    <t>"リチウム電池エネルギー量"</t>
  </si>
  <si>
    <t>"リチウム電池重量"</t>
  </si>
  <si>
    <t>この商品は、危険物に該当しますか？詳細については危険物確認ガイド{X}をご覧ください。1</t>
  </si>
  <si>
    <t>この商品は、危険物に該当しますか？詳細については危険物確認ガイド{X}をご覧ください。2</t>
  </si>
  <si>
    <t>この商品は、危険物に該当しますか？詳細については危険物確認ガイド{X}をご覧ください。3</t>
  </si>
  <si>
    <t>この商品は、危険物に該当しますか？詳細については危険物確認ガイド{X}をご覧ください。4</t>
  </si>
  <si>
    <t>この商品は、危険物に該当しますか？詳細については危険物確認ガイド{X}をご覧ください。5</t>
  </si>
  <si>
    <t>国連(UN)番号</t>
  </si>
  <si>
    <t>安全データシート(SDS) URL</t>
  </si>
  <si>
    <t>"商品の重量"</t>
  </si>
  <si>
    <t>"体積"</t>
  </si>
  <si>
    <t>引火点(°C)</t>
  </si>
  <si>
    <t>分類／危険物ラベル(適用されるものをすべて選択)1</t>
  </si>
  <si>
    <t>分類／危険物ラベル(適用されるものをすべて選択)2</t>
  </si>
  <si>
    <t>分類／危険物ラベル(適用されるものをすべて選択)3</t>
  </si>
  <si>
    <t>商品の重量の単位</t>
  </si>
  <si>
    <t>商品の容量の単位</t>
  </si>
  <si>
    <t>リチウム電池のエネルギー量測定単位</t>
  </si>
  <si>
    <t>リチウム電池の重量の測定単位</t>
  </si>
  <si>
    <t>sku</t>
  </si>
  <si>
    <t>product-id</t>
  </si>
  <si>
    <t>product-id-type</t>
  </si>
  <si>
    <t>optional-payment-type-exclusion</t>
  </si>
  <si>
    <t>merchant_shipping_group_name</t>
  </si>
  <si>
    <t>price</t>
  </si>
  <si>
    <t>standard-price-points-percent</t>
  </si>
  <si>
    <t>minimum-seller-allowed-price</t>
  </si>
  <si>
    <t>maximum-seller-allowed-price</t>
  </si>
  <si>
    <t>item-condition</t>
  </si>
  <si>
    <t>quantity</t>
  </si>
  <si>
    <t>add-delete</t>
  </si>
  <si>
    <t>will-ship-internationally</t>
  </si>
  <si>
    <t>item-note</t>
  </si>
  <si>
    <t>product-tax-code</t>
  </si>
  <si>
    <t>fulfillment-center-id</t>
  </si>
  <si>
    <t>handling-time</t>
  </si>
  <si>
    <t>batteries_required</t>
  </si>
  <si>
    <t>are_batteries_included</t>
  </si>
  <si>
    <t>battery_cell_composition</t>
  </si>
  <si>
    <t>battery_type</t>
  </si>
  <si>
    <t>number_of_batteries</t>
  </si>
  <si>
    <t>battery_weight</t>
  </si>
  <si>
    <t>number_of_lithium_ion_cells</t>
  </si>
  <si>
    <t>number_of_lithium_metal_cells</t>
  </si>
  <si>
    <t>lithium_battery_packaging</t>
  </si>
  <si>
    <t>lithium_battery_energy_content</t>
  </si>
  <si>
    <t>lithium_battery_weight</t>
  </si>
  <si>
    <t>supplier_declared_dg_hz_regulation1</t>
  </si>
  <si>
    <t>supplier_declared_dg_hz_regulation2</t>
  </si>
  <si>
    <t>supplier_declared_dg_hz_regulation3</t>
  </si>
  <si>
    <t>supplier_declared_dg_hz_regulation4</t>
  </si>
  <si>
    <t>supplier_declared_dg_hz_regulation5</t>
  </si>
  <si>
    <t>hazmat_united_nations_regulatory_id</t>
  </si>
  <si>
    <t>safety_data_sheet_url</t>
  </si>
  <si>
    <t>item_weight</t>
  </si>
  <si>
    <t>item_volume</t>
  </si>
  <si>
    <t>flash_point</t>
  </si>
  <si>
    <t>ghs_classification_class1</t>
  </si>
  <si>
    <t>ghs_classification_class2</t>
  </si>
  <si>
    <t>ghs_classification_class3</t>
  </si>
  <si>
    <t>item_weight_unit_of_measure</t>
  </si>
  <si>
    <t>item_volume_unit_of_measure</t>
  </si>
  <si>
    <t>lithium_battery_energy_content_unit_of_measure</t>
  </si>
  <si>
    <t>lithium_battery_weight_unit_of_measure</t>
  </si>
  <si>
    <t>battery_weight_unit_of_measure</t>
  </si>
  <si>
    <t>item_name</t>
  </si>
  <si>
    <t>condition_note</t>
  </si>
  <si>
    <t>leadtime</t>
  </si>
  <si>
    <t>shipping_group</t>
  </si>
  <si>
    <t>point</t>
  </si>
  <si>
    <t>autoprice_template_mode</t>
  </si>
  <si>
    <t>autoprice_template_id</t>
  </si>
  <si>
    <t>autoprice_stopper</t>
  </si>
  <si>
    <t>autoprice_stopper_upper</t>
  </si>
  <si>
    <t>purchase_cost</t>
  </si>
  <si>
    <t>memo</t>
  </si>
  <si>
    <t>is_delete</t>
  </si>
  <si>
    <t>SKU</t>
  </si>
  <si>
    <t>コンディション説明</t>
  </si>
  <si>
    <t>数量</t>
  </si>
  <si>
    <t>リードタイム</t>
  </si>
  <si>
    <t>価格</t>
  </si>
  <si>
    <t>配送方法</t>
  </si>
  <si>
    <t>ポイント</t>
  </si>
  <si>
    <t>自動価格モードID</t>
  </si>
  <si>
    <t>自動価格テンプレートID</t>
  </si>
  <si>
    <t>下限ストッパー</t>
  </si>
  <si>
    <t>上限ストッパー</t>
  </si>
  <si>
    <t>仕入れ価格</t>
  </si>
  <si>
    <t>メモ</t>
  </si>
  <si>
    <t>削除</t>
  </si>
  <si>
    <r>
      <rPr>
        <b/>
        <sz val="10"/>
        <rFont val="ＭＳ ゴシック"/>
        <family val="3"/>
        <charset val="128"/>
      </rPr>
      <t>商品メモ</t>
    </r>
    <phoneticPr fontId="1"/>
  </si>
  <si>
    <t>計算式</t>
    <rPh sb="0" eb="3">
      <t>ケイサンシキ</t>
    </rPh>
    <phoneticPr fontId="1"/>
  </si>
  <si>
    <t>計算欄</t>
    <rPh sb="0" eb="2">
      <t>ケイサンラン</t>
    </rPh>
    <phoneticPr fontId="1"/>
  </si>
  <si>
    <t>省略</t>
    <rPh sb="0" eb="2">
      <t>ショウリャク</t>
    </rPh>
    <phoneticPr fontId="1"/>
  </si>
  <si>
    <t>固定</t>
    <rPh sb="0" eb="2">
      <t>コテイ</t>
    </rPh>
    <phoneticPr fontId="1"/>
  </si>
  <si>
    <t>反映</t>
    <rPh sb="0" eb="2">
      <t>ハンエイ</t>
    </rPh>
    <phoneticPr fontId="1"/>
  </si>
  <si>
    <t>X</t>
    <phoneticPr fontId="1"/>
  </si>
  <si>
    <t>＝B4&amp;"NH"&amp;2204(年月)</t>
    <rPh sb="14" eb="15">
      <t>ネン</t>
    </rPh>
    <rPh sb="15" eb="16">
      <t>ツキ</t>
    </rPh>
    <phoneticPr fontId="1"/>
  </si>
  <si>
    <t>データベースよりISBNを反映</t>
    <rPh sb="13" eb="15">
      <t>ハンエイ</t>
    </rPh>
    <phoneticPr fontId="1"/>
  </si>
  <si>
    <t>＊真ん中に入るアルファベット二文字を指定できるようにしたい。</t>
    <rPh sb="1" eb="2">
      <t>マ</t>
    </rPh>
    <rPh sb="3" eb="4">
      <t>ナカ</t>
    </rPh>
    <rPh sb="5" eb="6">
      <t>ハイ</t>
    </rPh>
    <rPh sb="14" eb="17">
      <t>ニモジ</t>
    </rPh>
    <rPh sb="18" eb="20">
      <t>シテイ</t>
    </rPh>
    <phoneticPr fontId="1"/>
  </si>
  <si>
    <t>（例)コントロールパネルでプルダウンで選択できるように、新規追加機能ありで</t>
    <rPh sb="1" eb="2">
      <t>レイ</t>
    </rPh>
    <rPh sb="19" eb="21">
      <t>センタク</t>
    </rPh>
    <rPh sb="28" eb="30">
      <t>シンキ</t>
    </rPh>
    <rPh sb="30" eb="32">
      <t>ツイカ</t>
    </rPh>
    <rPh sb="32" eb="34">
      <t>キノウ</t>
    </rPh>
    <phoneticPr fontId="1"/>
  </si>
  <si>
    <t>予め入力しておく</t>
    <rPh sb="0" eb="1">
      <t>アラカジ</t>
    </rPh>
    <rPh sb="2" eb="4">
      <t>ニュウリョク</t>
    </rPh>
    <phoneticPr fontId="1"/>
  </si>
  <si>
    <t>説明文B</t>
    <rPh sb="0" eb="3">
      <t>セツメイブン</t>
    </rPh>
    <phoneticPr fontId="1"/>
  </si>
  <si>
    <t>説明文A</t>
    <rPh sb="0" eb="3">
      <t>セツメイブン</t>
    </rPh>
    <phoneticPr fontId="1"/>
  </si>
  <si>
    <t>計算欄</t>
    <rPh sb="0" eb="3">
      <t>ケイサンラン</t>
    </rPh>
    <phoneticPr fontId="1"/>
  </si>
  <si>
    <t>データベース若しくはスクレイピングデータより価格情報を反映</t>
    <rPh sb="6" eb="7">
      <t>モ</t>
    </rPh>
    <rPh sb="22" eb="24">
      <t>カカク</t>
    </rPh>
    <rPh sb="24" eb="26">
      <t>ジョウホウ</t>
    </rPh>
    <rPh sb="27" eb="29">
      <t>ハンエイ</t>
    </rPh>
    <phoneticPr fontId="1"/>
  </si>
  <si>
    <t>一次反映欄</t>
    <rPh sb="0" eb="1">
      <t>イチジ</t>
    </rPh>
    <rPh sb="1" eb="3">
      <t>ハンエイ</t>
    </rPh>
    <rPh sb="3" eb="4">
      <t>ラン</t>
    </rPh>
    <phoneticPr fontId="1"/>
  </si>
  <si>
    <t>パターン①と②のG列をそのまま反映</t>
    <rPh sb="9" eb="10">
      <t>レツ</t>
    </rPh>
    <rPh sb="15" eb="17">
      <t>ハンエイ</t>
    </rPh>
    <phoneticPr fontId="1"/>
  </si>
  <si>
    <t>３．H列はパターン①若しくは②のG列をそのまま反映</t>
    <rPh sb="3" eb="4">
      <t>レツ</t>
    </rPh>
    <rPh sb="10" eb="11">
      <t>モ</t>
    </rPh>
    <phoneticPr fontId="1"/>
  </si>
  <si>
    <t>１．パターン②は550円の部分を計算式から削除いただきたく。</t>
    <rPh sb="11" eb="12">
      <t>エン</t>
    </rPh>
    <rPh sb="13" eb="15">
      <t>ブブン</t>
    </rPh>
    <rPh sb="16" eb="19">
      <t>ケイサンシキ</t>
    </rPh>
    <rPh sb="21" eb="23">
      <t>サクジョ</t>
    </rPh>
    <phoneticPr fontId="1"/>
  </si>
  <si>
    <r>
      <t>　　(F4+88+110+330+</t>
    </r>
    <r>
      <rPr>
        <sz val="11"/>
        <color rgb="FFFF0000"/>
        <rFont val="ＭＳ Ｐゴシック"/>
        <family val="3"/>
        <charset val="128"/>
        <scheme val="minor"/>
      </rPr>
      <t>550</t>
    </r>
    <r>
      <rPr>
        <sz val="11"/>
        <color theme="1"/>
        <rFont val="ＭＳ Ｐゴシック"/>
        <family val="2"/>
        <scheme val="minor"/>
      </rPr>
      <t>(F4*0.15))*(IF(F4&gt;20000, "1.52",IF(F4&gt;10000, "1.49",IF(F4&gt;5000, "1.46",IF(F4&gt;3000, "1.43", IF(F4&gt;=1, "1.25", ""))))))</t>
    </r>
    <phoneticPr fontId="1"/>
  </si>
  <si>
    <t>４．N列（販売価格の下限設定）とP列（'販売価格の上限設定）に４行目の計算式を反映いただきたく。</t>
    <rPh sb="3" eb="4">
      <t>レツ</t>
    </rPh>
    <rPh sb="17" eb="18">
      <t>レツ</t>
    </rPh>
    <rPh sb="25" eb="27">
      <t>ジョウゲン</t>
    </rPh>
    <rPh sb="32" eb="34">
      <t>ギョウメ</t>
    </rPh>
    <rPh sb="35" eb="38">
      <t>ケイサンシキ</t>
    </rPh>
    <rPh sb="39" eb="41">
      <t>ハンエイ</t>
    </rPh>
    <phoneticPr fontId="1"/>
  </si>
  <si>
    <t>２，出力CSVパターン１、出力CSVパターン２，共通CSV出力1(2行目のみ),共通CSV出力2の１行目と２行目を足していただきたく。</t>
    <rPh sb="2" eb="4">
      <t>シュツリョク</t>
    </rPh>
    <rPh sb="34" eb="36">
      <t>ギョウメ</t>
    </rPh>
    <rPh sb="40" eb="42">
      <t>キョウツウ</t>
    </rPh>
    <rPh sb="45" eb="47">
      <t>シュツリョク</t>
    </rPh>
    <rPh sb="50" eb="52">
      <t>ギョウメ</t>
    </rPh>
    <rPh sb="54" eb="55">
      <t>ギョウ</t>
    </rPh>
    <rPh sb="55" eb="56">
      <t>メ</t>
    </rPh>
    <rPh sb="57" eb="58">
      <t>タ</t>
    </rPh>
    <phoneticPr fontId="1"/>
  </si>
  <si>
    <r>
      <t>この行は</t>
    </r>
    <r>
      <rPr>
        <b/>
        <sz val="11"/>
        <color theme="1"/>
        <rFont val="Verdana"/>
        <family val="2"/>
      </rPr>
      <t>Amazon</t>
    </r>
    <r>
      <rPr>
        <b/>
        <sz val="11"/>
        <color theme="1"/>
        <rFont val="ＭＳ Ｐゴシック"/>
        <family val="3"/>
        <charset val="128"/>
      </rPr>
      <t>が使用しますので変更や削除しないでください。</t>
    </r>
  </si>
  <si>
    <r>
      <rPr>
        <b/>
        <sz val="10"/>
        <color theme="1"/>
        <rFont val="ＭＳ ゴシック"/>
        <family val="3"/>
        <charset val="128"/>
      </rPr>
      <t>販売価格の下限設定</t>
    </r>
    <phoneticPr fontId="7"/>
  </si>
  <si>
    <r>
      <rPr>
        <b/>
        <sz val="10"/>
        <color theme="1"/>
        <rFont val="ＭＳ ゴシック"/>
        <family val="3"/>
        <charset val="128"/>
      </rPr>
      <t>商品メモ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</si>
</sst>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0"/>
      <name val="Arial"/>
      <family val="2"/>
    </font>
    <font>
      <b/>
      <sz val="11"/>
      <name val="Verdana"/>
      <family val="2"/>
    </font>
    <font>
      <b/>
      <sz val="11"/>
      <name val="ＭＳ Ｐゴシック"/>
      <family val="3"/>
      <charset val="128"/>
    </font>
    <font>
      <b/>
      <sz val="10"/>
      <name val="Verdana"/>
      <family val="2"/>
    </font>
    <font>
      <sz val="11"/>
      <color theme="1"/>
      <name val="ＭＳ Ｐゴシック"/>
      <family val="3"/>
      <charset val="128"/>
      <scheme val="minor"/>
    </font>
    <font>
      <sz val="10"/>
      <name val="Verdana"/>
      <family val="2"/>
    </font>
    <font>
      <b/>
      <sz val="10"/>
      <name val="ＭＳ ゴシック"/>
      <family val="3"/>
      <charset val="128"/>
    </font>
    <font>
      <b/>
      <sz val="10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theme="1"/>
      <name val="ＭＳ Ｐゴシック"/>
      <family val="2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Verdana"/>
      <family val="2"/>
    </font>
    <font>
      <b/>
      <sz val="11"/>
      <color theme="1"/>
      <name val="ＭＳ Ｐゴシック"/>
      <family val="3"/>
      <charset val="128"/>
    </font>
    <font>
      <sz val="10"/>
      <color theme="1"/>
      <name val="Arial"/>
      <family val="2"/>
    </font>
    <font>
      <sz val="10"/>
      <color theme="1"/>
      <name val="ＭＳ Ｐゴシック"/>
      <family val="2"/>
      <charset val="128"/>
    </font>
    <font>
      <b/>
      <sz val="10"/>
      <color theme="1"/>
      <name val="Verdana"/>
      <family val="2"/>
    </font>
    <font>
      <b/>
      <sz val="10"/>
      <color theme="1"/>
      <name val="ＭＳ Ｐゴシック"/>
      <family val="2"/>
      <charset val="128"/>
    </font>
    <font>
      <b/>
      <sz val="10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13"/>
      </patternFill>
    </fill>
    <fill>
      <patternFill patternType="solid">
        <fgColor indexed="4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38" fontId="11" fillId="0" borderId="0" applyFont="0" applyFill="0" applyBorder="0" applyAlignment="0" applyProtection="0">
      <alignment vertical="center"/>
    </xf>
  </cellStyleXfs>
  <cellXfs count="46">
    <xf numFmtId="0" fontId="0" fillId="0" borderId="0" xfId="0"/>
    <xf numFmtId="0" fontId="0" fillId="0" borderId="0" xfId="0" applyProtection="1">
      <protection locked="0"/>
    </xf>
    <xf numFmtId="0" fontId="2" fillId="0" borderId="0" xfId="1" applyAlignment="1">
      <alignment horizontal="center" vertical="center" wrapText="1"/>
    </xf>
    <xf numFmtId="0" fontId="0" fillId="0" borderId="0" xfId="0" applyAlignment="1">
      <alignment vertical="center"/>
    </xf>
    <xf numFmtId="0" fontId="0" fillId="4" borderId="0" xfId="0" applyFill="1"/>
    <xf numFmtId="0" fontId="12" fillId="0" borderId="0" xfId="0" applyFont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38" fontId="0" fillId="0" borderId="0" xfId="3" applyFont="1" applyAlignment="1"/>
    <xf numFmtId="49" fontId="0" fillId="4" borderId="0" xfId="0" applyNumberFormat="1" applyFill="1"/>
    <xf numFmtId="49" fontId="9" fillId="5" borderId="1" xfId="2" quotePrefix="1" applyNumberFormat="1" applyFont="1" applyFill="1" applyBorder="1" applyAlignment="1">
      <alignment horizontal="center" vertical="center"/>
    </xf>
    <xf numFmtId="0" fontId="0" fillId="0" borderId="2" xfId="0" applyBorder="1"/>
    <xf numFmtId="49" fontId="5" fillId="2" borderId="3" xfId="1" applyNumberFormat="1" applyFont="1" applyFill="1" applyBorder="1" applyAlignment="1">
      <alignment horizontal="center" vertical="center"/>
    </xf>
    <xf numFmtId="49" fontId="5" fillId="3" borderId="3" xfId="2" quotePrefix="1" applyNumberFormat="1" applyFont="1" applyFill="1" applyBorder="1" applyAlignment="1">
      <alignment horizontal="center" vertical="center"/>
    </xf>
    <xf numFmtId="49" fontId="5" fillId="3" borderId="3" xfId="2" quotePrefix="1" applyNumberFormat="1" applyFont="1" applyFill="1" applyBorder="1" applyAlignment="1" applyProtection="1">
      <alignment horizontal="center" vertical="center"/>
      <protection locked="0"/>
    </xf>
    <xf numFmtId="49" fontId="5" fillId="0" borderId="3" xfId="1" applyNumberFormat="1" applyFont="1" applyBorder="1" applyAlignment="1">
      <alignment horizontal="center" vertical="center"/>
    </xf>
    <xf numFmtId="49" fontId="5" fillId="0" borderId="3" xfId="1" applyNumberFormat="1" applyFont="1" applyBorder="1" applyAlignment="1" applyProtection="1">
      <alignment horizontal="center" vertical="center"/>
      <protection locked="0"/>
    </xf>
    <xf numFmtId="49" fontId="3" fillId="0" borderId="4" xfId="1" applyNumberFormat="1" applyFont="1" applyBorder="1"/>
    <xf numFmtId="49" fontId="3" fillId="0" borderId="5" xfId="1" applyNumberFormat="1" applyFont="1" applyBorder="1"/>
    <xf numFmtId="49" fontId="4" fillId="0" borderId="5" xfId="1" applyNumberFormat="1" applyFont="1" applyBorder="1"/>
    <xf numFmtId="49" fontId="2" fillId="0" borderId="5" xfId="1" applyNumberFormat="1" applyBorder="1"/>
    <xf numFmtId="49" fontId="10" fillId="5" borderId="5" xfId="1" applyNumberFormat="1" applyFont="1" applyFill="1" applyBorder="1" applyAlignment="1">
      <alignment horizontal="center"/>
    </xf>
    <xf numFmtId="0" fontId="2" fillId="0" borderId="5" xfId="1" applyBorder="1"/>
    <xf numFmtId="0" fontId="0" fillId="0" borderId="5" xfId="0" applyBorder="1"/>
    <xf numFmtId="49" fontId="5" fillId="2" borderId="6" xfId="1" applyNumberFormat="1" applyFont="1" applyFill="1" applyBorder="1" applyAlignment="1">
      <alignment horizontal="center" vertical="center"/>
    </xf>
    <xf numFmtId="49" fontId="5" fillId="3" borderId="7" xfId="2" quotePrefix="1" applyNumberFormat="1" applyFont="1" applyFill="1" applyBorder="1" applyAlignment="1">
      <alignment horizontal="center" vertical="center"/>
    </xf>
    <xf numFmtId="49" fontId="9" fillId="5" borderId="7" xfId="2" quotePrefix="1" applyNumberFormat="1" applyFont="1" applyFill="1" applyBorder="1" applyAlignment="1">
      <alignment horizontal="center" vertical="center"/>
    </xf>
    <xf numFmtId="49" fontId="5" fillId="0" borderId="7" xfId="1" applyNumberFormat="1" applyFont="1" applyBorder="1" applyAlignment="1">
      <alignment horizontal="center" vertical="center"/>
    </xf>
    <xf numFmtId="0" fontId="2" fillId="0" borderId="2" xfId="1" applyBorder="1" applyAlignment="1">
      <alignment horizontal="center" vertical="center"/>
    </xf>
    <xf numFmtId="49" fontId="10" fillId="0" borderId="5" xfId="1" applyNumberFormat="1" applyFont="1" applyBorder="1" applyAlignment="1">
      <alignment horizontal="center"/>
    </xf>
    <xf numFmtId="49" fontId="14" fillId="0" borderId="4" xfId="1" applyNumberFormat="1" applyFont="1" applyBorder="1"/>
    <xf numFmtId="49" fontId="14" fillId="0" borderId="5" xfId="1" applyNumberFormat="1" applyFont="1" applyBorder="1"/>
    <xf numFmtId="49" fontId="15" fillId="0" borderId="5" xfId="1" applyNumberFormat="1" applyFont="1" applyBorder="1"/>
    <xf numFmtId="49" fontId="16" fillId="0" borderId="5" xfId="1" applyNumberFormat="1" applyFont="1" applyBorder="1"/>
    <xf numFmtId="49" fontId="17" fillId="5" borderId="5" xfId="1" applyNumberFormat="1" applyFont="1" applyFill="1" applyBorder="1" applyAlignment="1">
      <alignment horizontal="center"/>
    </xf>
    <xf numFmtId="0" fontId="16" fillId="0" borderId="5" xfId="1" applyFont="1" applyBorder="1"/>
    <xf numFmtId="0" fontId="11" fillId="0" borderId="5" xfId="0" applyFont="1" applyBorder="1"/>
    <xf numFmtId="49" fontId="18" fillId="2" borderId="6" xfId="1" applyNumberFormat="1" applyFont="1" applyFill="1" applyBorder="1" applyAlignment="1">
      <alignment horizontal="center" vertical="center"/>
    </xf>
    <xf numFmtId="49" fontId="18" fillId="3" borderId="7" xfId="2" quotePrefix="1" applyNumberFormat="1" applyFont="1" applyFill="1" applyBorder="1" applyAlignment="1">
      <alignment horizontal="center" vertical="center"/>
    </xf>
    <xf numFmtId="49" fontId="19" fillId="5" borderId="7" xfId="2" quotePrefix="1" applyNumberFormat="1" applyFont="1" applyFill="1" applyBorder="1" applyAlignment="1">
      <alignment horizontal="center" vertical="center"/>
    </xf>
    <xf numFmtId="49" fontId="18" fillId="0" borderId="7" xfId="1" applyNumberFormat="1" applyFont="1" applyBorder="1" applyAlignment="1">
      <alignment horizontal="center" vertical="center"/>
    </xf>
    <xf numFmtId="0" fontId="11" fillId="0" borderId="2" xfId="0" applyFont="1" applyBorder="1"/>
    <xf numFmtId="0" fontId="16" fillId="0" borderId="2" xfId="1" applyFont="1" applyBorder="1" applyAlignment="1">
      <alignment horizontal="center" vertical="center"/>
    </xf>
  </cellXfs>
  <cellStyles count="4">
    <cellStyle name="Normal 10 2" xfId="1" xr:uid="{F75F0577-DD6F-4CFB-9B8E-047D573E28DB}"/>
    <cellStyle name="Normal 2 3 2" xfId="2" xr:uid="{F58C14B2-457B-4550-A982-1354D789BC1C}"/>
    <cellStyle name="桁区切り" xfId="3" builtinId="6"/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0</xdr:col>
      <xdr:colOff>38100</xdr:colOff>
      <xdr:row>0</xdr:row>
      <xdr:rowOff>38100</xdr:rowOff>
    </xdr:to>
    <xdr:sp macro="" textlink="">
      <xdr:nvSpPr>
        <xdr:cNvPr id="2" name="cboOfferCreation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19050" y="19050"/>
          <a:ext cx="19050" cy="1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0</xdr:col>
      <xdr:colOff>38100</xdr:colOff>
      <xdr:row>0</xdr:row>
      <xdr:rowOff>38100</xdr:rowOff>
    </xdr:to>
    <xdr:sp macro="" textlink="">
      <xdr:nvSpPr>
        <xdr:cNvPr id="2" name="cboOfferCreation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19050" y="19050"/>
          <a:ext cx="19050" cy="1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0</xdr:col>
      <xdr:colOff>38100</xdr:colOff>
      <xdr:row>0</xdr:row>
      <xdr:rowOff>38100</xdr:rowOff>
    </xdr:to>
    <xdr:sp macro="" textlink="">
      <xdr:nvSpPr>
        <xdr:cNvPr id="2" name="cboOfferCreation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19050" y="19050"/>
          <a:ext cx="19050" cy="1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A10F4-A757-4636-8E44-D681CCE67AB0}">
  <dimension ref="A1:AZ10"/>
  <sheetViews>
    <sheetView workbookViewId="0">
      <selection activeCell="D18" sqref="D18"/>
    </sheetView>
  </sheetViews>
  <sheetFormatPr defaultRowHeight="13.5" x14ac:dyDescent="0.15"/>
  <cols>
    <col min="1" max="1" width="22.5" customWidth="1"/>
    <col min="2" max="2" width="26.25" customWidth="1"/>
    <col min="3" max="3" width="16.125" customWidth="1"/>
    <col min="6" max="6" width="12.375" customWidth="1"/>
  </cols>
  <sheetData>
    <row r="1" spans="1:52" s="25" customFormat="1" ht="15" thickTop="1" x14ac:dyDescent="0.2">
      <c r="A1" s="20" t="s">
        <v>1</v>
      </c>
      <c r="B1" s="21" t="s">
        <v>2</v>
      </c>
      <c r="C1" s="22" t="s">
        <v>3</v>
      </c>
      <c r="D1" s="23"/>
      <c r="E1" s="23"/>
      <c r="F1" s="24" t="s">
        <v>123</v>
      </c>
      <c r="G1" s="23"/>
      <c r="H1" s="23"/>
      <c r="I1" s="23"/>
      <c r="J1" s="23"/>
      <c r="K1" s="23"/>
      <c r="L1" s="23"/>
      <c r="M1" s="23"/>
      <c r="N1" s="23"/>
      <c r="O1" s="23"/>
      <c r="P1" s="23"/>
      <c r="R1" s="23"/>
      <c r="Y1" s="26"/>
    </row>
    <row r="2" spans="1:52" s="31" customFormat="1" ht="24" customHeight="1" thickBot="1" x14ac:dyDescent="0.2">
      <c r="A2" s="27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122</v>
      </c>
      <c r="G2" s="28" t="s">
        <v>9</v>
      </c>
      <c r="H2" s="28" t="s">
        <v>10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120</v>
      </c>
      <c r="P2" s="28" t="s">
        <v>17</v>
      </c>
      <c r="Q2" s="30" t="s">
        <v>18</v>
      </c>
      <c r="R2" s="30" t="s">
        <v>19</v>
      </c>
      <c r="S2" s="30" t="s">
        <v>20</v>
      </c>
      <c r="T2" s="30" t="s">
        <v>21</v>
      </c>
      <c r="U2" s="30" t="s">
        <v>22</v>
      </c>
      <c r="V2" s="30" t="s">
        <v>23</v>
      </c>
      <c r="W2" s="30" t="s">
        <v>24</v>
      </c>
      <c r="X2" s="30" t="s">
        <v>25</v>
      </c>
      <c r="Y2" s="30" t="s">
        <v>26</v>
      </c>
      <c r="Z2" s="30" t="s">
        <v>27</v>
      </c>
      <c r="AA2" s="30" t="s">
        <v>28</v>
      </c>
      <c r="AB2" s="30" t="s">
        <v>29</v>
      </c>
      <c r="AC2" s="30" t="s">
        <v>30</v>
      </c>
      <c r="AD2" s="30" t="s">
        <v>31</v>
      </c>
      <c r="AE2" s="30" t="s">
        <v>32</v>
      </c>
      <c r="AF2" s="30" t="s">
        <v>33</v>
      </c>
      <c r="AG2" s="30" t="s">
        <v>34</v>
      </c>
      <c r="AH2" s="30" t="s">
        <v>35</v>
      </c>
      <c r="AI2" s="30" t="s">
        <v>36</v>
      </c>
      <c r="AJ2" s="30" t="s">
        <v>37</v>
      </c>
      <c r="AK2" s="30" t="s">
        <v>38</v>
      </c>
      <c r="AL2" s="30" t="s">
        <v>39</v>
      </c>
      <c r="AM2" s="30" t="s">
        <v>40</v>
      </c>
      <c r="AN2" s="30" t="s">
        <v>41</v>
      </c>
      <c r="AO2" s="30" t="s">
        <v>42</v>
      </c>
      <c r="AP2" s="30" t="s">
        <v>43</v>
      </c>
      <c r="AQ2" s="30" t="s">
        <v>44</v>
      </c>
      <c r="AR2" s="30" t="s">
        <v>45</v>
      </c>
      <c r="AS2" s="30" t="s">
        <v>46</v>
      </c>
      <c r="AT2" s="30" t="s">
        <v>47</v>
      </c>
      <c r="AU2" s="30" t="s">
        <v>47</v>
      </c>
      <c r="AV2" s="30"/>
      <c r="AW2" s="30"/>
      <c r="AX2" s="30"/>
      <c r="AY2" s="14"/>
    </row>
    <row r="3" spans="1:52" s="2" customFormat="1" ht="24" customHeight="1" thickTop="1" x14ac:dyDescent="0.15">
      <c r="A3" s="15" t="s">
        <v>48</v>
      </c>
      <c r="B3" s="16" t="s">
        <v>49</v>
      </c>
      <c r="C3" s="16" t="s">
        <v>50</v>
      </c>
      <c r="D3" s="16" t="s">
        <v>51</v>
      </c>
      <c r="E3" s="17" t="s">
        <v>52</v>
      </c>
      <c r="F3" s="17"/>
      <c r="G3" s="16" t="s">
        <v>53</v>
      </c>
      <c r="H3" s="17" t="s">
        <v>54</v>
      </c>
      <c r="I3" s="17" t="s">
        <v>55</v>
      </c>
      <c r="J3" s="17" t="s">
        <v>56</v>
      </c>
      <c r="K3" s="16" t="s">
        <v>57</v>
      </c>
      <c r="L3" s="16" t="s">
        <v>58</v>
      </c>
      <c r="M3" s="16" t="s">
        <v>59</v>
      </c>
      <c r="N3" s="16" t="s">
        <v>60</v>
      </c>
      <c r="O3" s="16" t="s">
        <v>61</v>
      </c>
      <c r="P3" s="17" t="s">
        <v>62</v>
      </c>
      <c r="Q3" s="18" t="s">
        <v>63</v>
      </c>
      <c r="R3" s="18" t="s">
        <v>64</v>
      </c>
      <c r="S3" s="18" t="s">
        <v>65</v>
      </c>
      <c r="T3" s="18" t="s">
        <v>66</v>
      </c>
      <c r="U3" s="18" t="s">
        <v>67</v>
      </c>
      <c r="V3" s="18" t="s">
        <v>68</v>
      </c>
      <c r="W3" s="18" t="s">
        <v>69</v>
      </c>
      <c r="X3" s="18" t="s">
        <v>70</v>
      </c>
      <c r="Y3" s="18" t="s">
        <v>71</v>
      </c>
      <c r="Z3" s="18" t="s">
        <v>72</v>
      </c>
      <c r="AA3" s="18" t="s">
        <v>73</v>
      </c>
      <c r="AB3" s="18" t="s">
        <v>74</v>
      </c>
      <c r="AC3" s="18" t="s">
        <v>75</v>
      </c>
      <c r="AD3" s="19" t="s">
        <v>76</v>
      </c>
      <c r="AE3" s="19" t="s">
        <v>77</v>
      </c>
      <c r="AF3" s="19" t="s">
        <v>78</v>
      </c>
      <c r="AG3" s="19" t="s">
        <v>79</v>
      </c>
      <c r="AH3" s="19" t="s">
        <v>80</v>
      </c>
      <c r="AI3" s="18" t="s">
        <v>81</v>
      </c>
      <c r="AJ3" s="18" t="s">
        <v>82</v>
      </c>
      <c r="AK3" s="18" t="s">
        <v>83</v>
      </c>
      <c r="AL3" s="18" t="s">
        <v>84</v>
      </c>
      <c r="AM3" s="18" t="s">
        <v>85</v>
      </c>
      <c r="AN3" s="19" t="s">
        <v>86</v>
      </c>
      <c r="AO3" s="19" t="s">
        <v>87</v>
      </c>
      <c r="AP3" s="19" t="s">
        <v>88</v>
      </c>
      <c r="AQ3" s="18" t="s">
        <v>89</v>
      </c>
      <c r="AR3" s="18" t="s">
        <v>90</v>
      </c>
      <c r="AS3" s="18" t="s">
        <v>91</v>
      </c>
      <c r="AT3" s="18" t="s">
        <v>92</v>
      </c>
      <c r="AU3" s="18" t="s">
        <v>93</v>
      </c>
      <c r="AV3" s="18"/>
      <c r="AW3" s="18"/>
      <c r="AX3" s="18"/>
      <c r="AY3" s="1"/>
      <c r="AZ3" s="1"/>
    </row>
    <row r="4" spans="1:52" ht="21" customHeight="1" x14ac:dyDescent="0.15">
      <c r="A4" s="10" t="s">
        <v>127</v>
      </c>
      <c r="B4" s="4" t="s">
        <v>128</v>
      </c>
      <c r="C4" t="s">
        <v>131</v>
      </c>
      <c r="E4" t="s">
        <v>131</v>
      </c>
      <c r="F4" s="4" t="s">
        <v>135</v>
      </c>
      <c r="G4" s="11" t="e">
        <f>(F4+88+110+330+550+(F4*0.15))*(IF(F4&gt;20000, "1.52",IF(F4&gt;10000, "1.49",IF(F4&gt;5000, "1.46",IF(F4&gt;3000, "1.43", IF(F4&gt;=1, "1.42", ""))))))</f>
        <v>#VALUE!</v>
      </c>
      <c r="H4" t="s">
        <v>131</v>
      </c>
      <c r="K4" t="s">
        <v>131</v>
      </c>
      <c r="L4" t="s">
        <v>131</v>
      </c>
      <c r="O4" t="s">
        <v>133</v>
      </c>
    </row>
    <row r="5" spans="1:52" x14ac:dyDescent="0.15">
      <c r="A5" s="5" t="s">
        <v>121</v>
      </c>
      <c r="C5" s="5" t="s">
        <v>124</v>
      </c>
      <c r="E5" s="5" t="s">
        <v>124</v>
      </c>
      <c r="G5" s="5" t="s">
        <v>121</v>
      </c>
      <c r="H5" s="5" t="s">
        <v>124</v>
      </c>
      <c r="K5" s="5" t="s">
        <v>124</v>
      </c>
      <c r="L5" s="5" t="s">
        <v>124</v>
      </c>
      <c r="O5" s="5" t="s">
        <v>124</v>
      </c>
    </row>
    <row r="7" spans="1:52" x14ac:dyDescent="0.15">
      <c r="A7" t="s">
        <v>129</v>
      </c>
    </row>
    <row r="8" spans="1:52" x14ac:dyDescent="0.15">
      <c r="A8" t="s">
        <v>130</v>
      </c>
    </row>
    <row r="10" spans="1:52" x14ac:dyDescent="0.15">
      <c r="G10" s="11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18D6F-F20A-453C-A279-B95657B19851}">
  <sheetPr>
    <tabColor rgb="FFFF0000"/>
  </sheetPr>
  <dimension ref="A1:AZ11"/>
  <sheetViews>
    <sheetView tabSelected="1" workbookViewId="0">
      <selection activeCell="B17" sqref="B16:B17"/>
    </sheetView>
  </sheetViews>
  <sheetFormatPr defaultRowHeight="13.5" x14ac:dyDescent="0.15"/>
  <cols>
    <col min="1" max="1" width="22.5" customWidth="1"/>
    <col min="2" max="2" width="26.25" customWidth="1"/>
    <col min="3" max="3" width="16.125" customWidth="1"/>
    <col min="6" max="6" width="23.25" customWidth="1"/>
  </cols>
  <sheetData>
    <row r="1" spans="1:52" s="38" customFormat="1" ht="15" thickTop="1" x14ac:dyDescent="0.2">
      <c r="A1" s="33" t="s">
        <v>1</v>
      </c>
      <c r="B1" s="34" t="s">
        <v>2</v>
      </c>
      <c r="C1" s="35" t="s">
        <v>143</v>
      </c>
      <c r="D1" s="36"/>
      <c r="E1" s="36"/>
      <c r="F1" s="37" t="s">
        <v>123</v>
      </c>
      <c r="G1" s="36"/>
      <c r="H1" s="36"/>
      <c r="I1" s="36"/>
      <c r="J1" s="36"/>
      <c r="K1" s="36"/>
      <c r="L1" s="36"/>
      <c r="M1" s="36"/>
      <c r="N1" s="36"/>
      <c r="O1" s="36"/>
      <c r="P1" s="36"/>
      <c r="R1" s="36"/>
      <c r="Y1" s="39"/>
    </row>
    <row r="2" spans="1:52" s="45" customFormat="1" ht="24" customHeight="1" thickBot="1" x14ac:dyDescent="0.2">
      <c r="A2" s="40" t="s">
        <v>4</v>
      </c>
      <c r="B2" s="41" t="s">
        <v>5</v>
      </c>
      <c r="C2" s="41" t="s">
        <v>6</v>
      </c>
      <c r="D2" s="41" t="s">
        <v>7</v>
      </c>
      <c r="E2" s="41" t="s">
        <v>8</v>
      </c>
      <c r="F2" s="42" t="s">
        <v>136</v>
      </c>
      <c r="G2" s="41" t="s">
        <v>9</v>
      </c>
      <c r="H2" s="41" t="s">
        <v>10</v>
      </c>
      <c r="I2" s="41" t="s">
        <v>144</v>
      </c>
      <c r="J2" s="41" t="s">
        <v>12</v>
      </c>
      <c r="K2" s="41" t="s">
        <v>13</v>
      </c>
      <c r="L2" s="41" t="s">
        <v>14</v>
      </c>
      <c r="M2" s="41" t="s">
        <v>15</v>
      </c>
      <c r="N2" s="41" t="s">
        <v>16</v>
      </c>
      <c r="O2" s="41" t="s">
        <v>145</v>
      </c>
      <c r="P2" s="41" t="s">
        <v>17</v>
      </c>
      <c r="Q2" s="43" t="s">
        <v>18</v>
      </c>
      <c r="R2" s="43" t="s">
        <v>19</v>
      </c>
      <c r="S2" s="43" t="s">
        <v>20</v>
      </c>
      <c r="T2" s="43" t="s">
        <v>21</v>
      </c>
      <c r="U2" s="43" t="s">
        <v>22</v>
      </c>
      <c r="V2" s="43" t="s">
        <v>23</v>
      </c>
      <c r="W2" s="43" t="s">
        <v>24</v>
      </c>
      <c r="X2" s="43" t="s">
        <v>25</v>
      </c>
      <c r="Y2" s="43" t="s">
        <v>26</v>
      </c>
      <c r="Z2" s="43" t="s">
        <v>27</v>
      </c>
      <c r="AA2" s="43" t="s">
        <v>28</v>
      </c>
      <c r="AB2" s="43" t="s">
        <v>29</v>
      </c>
      <c r="AC2" s="43" t="s">
        <v>30</v>
      </c>
      <c r="AD2" s="43" t="s">
        <v>31</v>
      </c>
      <c r="AE2" s="43" t="s">
        <v>32</v>
      </c>
      <c r="AF2" s="43" t="s">
        <v>33</v>
      </c>
      <c r="AG2" s="43" t="s">
        <v>34</v>
      </c>
      <c r="AH2" s="43" t="s">
        <v>35</v>
      </c>
      <c r="AI2" s="43" t="s">
        <v>36</v>
      </c>
      <c r="AJ2" s="43" t="s">
        <v>37</v>
      </c>
      <c r="AK2" s="43" t="s">
        <v>38</v>
      </c>
      <c r="AL2" s="43" t="s">
        <v>39</v>
      </c>
      <c r="AM2" s="43" t="s">
        <v>40</v>
      </c>
      <c r="AN2" s="43" t="s">
        <v>41</v>
      </c>
      <c r="AO2" s="43" t="s">
        <v>42</v>
      </c>
      <c r="AP2" s="43" t="s">
        <v>43</v>
      </c>
      <c r="AQ2" s="43" t="s">
        <v>44</v>
      </c>
      <c r="AR2" s="43" t="s">
        <v>45</v>
      </c>
      <c r="AS2" s="43" t="s">
        <v>46</v>
      </c>
      <c r="AT2" s="43" t="s">
        <v>47</v>
      </c>
      <c r="AU2" s="43" t="s">
        <v>47</v>
      </c>
      <c r="AV2" s="43"/>
      <c r="AW2" s="43"/>
      <c r="AX2" s="43"/>
      <c r="AY2" s="44"/>
    </row>
    <row r="3" spans="1:52" s="2" customFormat="1" ht="24" customHeight="1" thickTop="1" x14ac:dyDescent="0.15">
      <c r="A3" s="15" t="s">
        <v>48</v>
      </c>
      <c r="B3" s="16" t="s">
        <v>49</v>
      </c>
      <c r="C3" s="16" t="s">
        <v>50</v>
      </c>
      <c r="D3" s="16" t="s">
        <v>51</v>
      </c>
      <c r="E3" s="17" t="s">
        <v>52</v>
      </c>
      <c r="F3" s="17"/>
      <c r="G3" s="16" t="s">
        <v>53</v>
      </c>
      <c r="H3" s="17" t="s">
        <v>54</v>
      </c>
      <c r="I3" s="17" t="s">
        <v>55</v>
      </c>
      <c r="J3" s="17" t="s">
        <v>56</v>
      </c>
      <c r="K3" s="16" t="s">
        <v>57</v>
      </c>
      <c r="L3" s="16" t="s">
        <v>58</v>
      </c>
      <c r="M3" s="16" t="s">
        <v>59</v>
      </c>
      <c r="N3" s="16" t="s">
        <v>60</v>
      </c>
      <c r="O3" s="16" t="s">
        <v>61</v>
      </c>
      <c r="P3" s="17" t="s">
        <v>62</v>
      </c>
      <c r="Q3" s="18" t="s">
        <v>63</v>
      </c>
      <c r="R3" s="18" t="s">
        <v>64</v>
      </c>
      <c r="S3" s="18" t="s">
        <v>65</v>
      </c>
      <c r="T3" s="18" t="s">
        <v>66</v>
      </c>
      <c r="U3" s="18" t="s">
        <v>67</v>
      </c>
      <c r="V3" s="18" t="s">
        <v>68</v>
      </c>
      <c r="W3" s="18" t="s">
        <v>69</v>
      </c>
      <c r="X3" s="18" t="s">
        <v>70</v>
      </c>
      <c r="Y3" s="18" t="s">
        <v>71</v>
      </c>
      <c r="Z3" s="18" t="s">
        <v>72</v>
      </c>
      <c r="AA3" s="18" t="s">
        <v>73</v>
      </c>
      <c r="AB3" s="18" t="s">
        <v>74</v>
      </c>
      <c r="AC3" s="18" t="s">
        <v>75</v>
      </c>
      <c r="AD3" s="19" t="s">
        <v>76</v>
      </c>
      <c r="AE3" s="19" t="s">
        <v>77</v>
      </c>
      <c r="AF3" s="19" t="s">
        <v>78</v>
      </c>
      <c r="AG3" s="19" t="s">
        <v>79</v>
      </c>
      <c r="AH3" s="19" t="s">
        <v>80</v>
      </c>
      <c r="AI3" s="18" t="s">
        <v>81</v>
      </c>
      <c r="AJ3" s="18" t="s">
        <v>82</v>
      </c>
      <c r="AK3" s="18" t="s">
        <v>83</v>
      </c>
      <c r="AL3" s="18" t="s">
        <v>84</v>
      </c>
      <c r="AM3" s="18" t="s">
        <v>85</v>
      </c>
      <c r="AN3" s="19" t="s">
        <v>86</v>
      </c>
      <c r="AO3" s="19" t="s">
        <v>87</v>
      </c>
      <c r="AP3" s="19" t="s">
        <v>88</v>
      </c>
      <c r="AQ3" s="18" t="s">
        <v>89</v>
      </c>
      <c r="AR3" s="18" t="s">
        <v>90</v>
      </c>
      <c r="AS3" s="18" t="s">
        <v>91</v>
      </c>
      <c r="AT3" s="18" t="s">
        <v>92</v>
      </c>
      <c r="AU3" s="18" t="s">
        <v>93</v>
      </c>
      <c r="AV3" s="18"/>
      <c r="AW3" s="18"/>
      <c r="AX3" s="18"/>
      <c r="AY3" s="1"/>
      <c r="AZ3" s="1"/>
    </row>
    <row r="4" spans="1:52" ht="21" customHeight="1" x14ac:dyDescent="0.15">
      <c r="A4" s="10" t="s">
        <v>127</v>
      </c>
      <c r="B4" s="4" t="s">
        <v>128</v>
      </c>
      <c r="C4" t="s">
        <v>131</v>
      </c>
      <c r="E4" t="s">
        <v>131</v>
      </c>
      <c r="F4" s="4">
        <v>1000</v>
      </c>
      <c r="G4" s="11">
        <f>(F4+88+110+330+550*(F4*0.15))*(IF(F4&gt;20000,"1.52",IF(F4&gt;10000,"1.49",IF(F4&gt;5000,"1.46",IF(F4&gt;3000,"1.43",IF(F4&gt;=1,"1.25",""))))))</f>
        <v>105035</v>
      </c>
      <c r="H4" t="s">
        <v>131</v>
      </c>
      <c r="K4" t="s">
        <v>131</v>
      </c>
      <c r="L4" t="s">
        <v>131</v>
      </c>
      <c r="O4" t="s">
        <v>132</v>
      </c>
    </row>
    <row r="5" spans="1:52" x14ac:dyDescent="0.15">
      <c r="A5" s="5" t="s">
        <v>121</v>
      </c>
      <c r="C5" s="5" t="s">
        <v>124</v>
      </c>
      <c r="E5" s="5" t="s">
        <v>124</v>
      </c>
      <c r="G5" s="5" t="s">
        <v>121</v>
      </c>
      <c r="H5" s="5" t="s">
        <v>124</v>
      </c>
      <c r="K5" s="5" t="s">
        <v>124</v>
      </c>
      <c r="L5" s="5" t="s">
        <v>124</v>
      </c>
      <c r="O5" s="5" t="s">
        <v>124</v>
      </c>
    </row>
    <row r="7" spans="1:52" x14ac:dyDescent="0.15">
      <c r="A7" t="s">
        <v>129</v>
      </c>
    </row>
    <row r="8" spans="1:52" x14ac:dyDescent="0.15">
      <c r="A8" t="s">
        <v>130</v>
      </c>
    </row>
    <row r="9" spans="1:52" x14ac:dyDescent="0.15">
      <c r="G9" s="5" t="s">
        <v>139</v>
      </c>
    </row>
    <row r="10" spans="1:52" x14ac:dyDescent="0.15">
      <c r="G10" t="s">
        <v>140</v>
      </c>
    </row>
    <row r="11" spans="1:52" x14ac:dyDescent="0.15">
      <c r="G11" s="5" t="s">
        <v>142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46680-9242-473C-B88A-C14A0BDFBC98}">
  <sheetPr>
    <tabColor rgb="FFFF0000"/>
  </sheetPr>
  <dimension ref="A1:S10"/>
  <sheetViews>
    <sheetView workbookViewId="0">
      <selection activeCell="H3" sqref="H3"/>
    </sheetView>
  </sheetViews>
  <sheetFormatPr defaultRowHeight="13.5" x14ac:dyDescent="0.15"/>
  <cols>
    <col min="1" max="1" width="20.125" customWidth="1"/>
    <col min="2" max="2" width="8.5" customWidth="1"/>
  </cols>
  <sheetData>
    <row r="1" spans="1:19" s="3" customFormat="1" x14ac:dyDescent="0.15">
      <c r="A1" s="3" t="s">
        <v>48</v>
      </c>
      <c r="B1" s="13" t="s">
        <v>136</v>
      </c>
      <c r="C1" s="3" t="s">
        <v>94</v>
      </c>
      <c r="D1" s="3" t="s">
        <v>95</v>
      </c>
      <c r="E1" s="3" t="s">
        <v>58</v>
      </c>
      <c r="F1" s="3" t="s">
        <v>96</v>
      </c>
      <c r="G1" s="13" t="s">
        <v>136</v>
      </c>
      <c r="H1" s="3" t="s">
        <v>53</v>
      </c>
      <c r="I1" s="3" t="s">
        <v>97</v>
      </c>
      <c r="J1" s="3" t="s">
        <v>98</v>
      </c>
      <c r="K1" s="3" t="s">
        <v>99</v>
      </c>
      <c r="L1" s="3" t="s">
        <v>100</v>
      </c>
      <c r="N1" s="3" t="s">
        <v>101</v>
      </c>
      <c r="P1" s="3" t="s">
        <v>102</v>
      </c>
      <c r="Q1" s="3" t="s">
        <v>103</v>
      </c>
      <c r="R1" s="3" t="s">
        <v>104</v>
      </c>
      <c r="S1" s="3" t="s">
        <v>105</v>
      </c>
    </row>
    <row r="2" spans="1:19" s="3" customFormat="1" x14ac:dyDescent="0.15">
      <c r="A2" s="3" t="s">
        <v>106</v>
      </c>
      <c r="C2" s="3" t="s">
        <v>0</v>
      </c>
      <c r="D2" s="3" t="s">
        <v>107</v>
      </c>
      <c r="E2" s="3" t="s">
        <v>108</v>
      </c>
      <c r="F2" s="3" t="s">
        <v>109</v>
      </c>
      <c r="H2" s="3" t="s">
        <v>110</v>
      </c>
      <c r="I2" s="3" t="s">
        <v>111</v>
      </c>
      <c r="J2" s="3" t="s">
        <v>112</v>
      </c>
      <c r="K2" s="3" t="s">
        <v>113</v>
      </c>
      <c r="L2" s="3" t="s">
        <v>114</v>
      </c>
      <c r="M2" s="3" t="s">
        <v>134</v>
      </c>
      <c r="N2" s="3" t="s">
        <v>115</v>
      </c>
      <c r="O2" s="3" t="s">
        <v>134</v>
      </c>
      <c r="P2" s="3" t="s">
        <v>116</v>
      </c>
      <c r="Q2" s="3" t="s">
        <v>117</v>
      </c>
      <c r="R2" s="3" t="s">
        <v>118</v>
      </c>
      <c r="S2" s="3" t="s">
        <v>119</v>
      </c>
    </row>
    <row r="3" spans="1:19" s="3" customFormat="1" x14ac:dyDescent="0.15">
      <c r="A3" s="10" t="s">
        <v>127</v>
      </c>
      <c r="B3" s="4" t="s">
        <v>128</v>
      </c>
      <c r="E3" s="3">
        <v>1</v>
      </c>
      <c r="F3" s="3">
        <v>10</v>
      </c>
      <c r="G3" s="4" t="s">
        <v>135</v>
      </c>
      <c r="H3" s="6" t="s">
        <v>137</v>
      </c>
      <c r="K3" s="3">
        <v>1</v>
      </c>
      <c r="L3" s="3">
        <v>2651</v>
      </c>
      <c r="N3" s="6" t="e">
        <f>ROUNDUP((H3×0.8),0)</f>
        <v>#NAME?</v>
      </c>
      <c r="P3" s="6" t="e">
        <f>ROUNDUP((H3×0.8),0)</f>
        <v>#NAME?</v>
      </c>
    </row>
    <row r="4" spans="1:19" x14ac:dyDescent="0.15">
      <c r="A4" s="5" t="s">
        <v>121</v>
      </c>
      <c r="B4" s="6"/>
      <c r="E4" s="8" t="s">
        <v>124</v>
      </c>
      <c r="F4" s="8" t="s">
        <v>124</v>
      </c>
      <c r="G4" s="8"/>
      <c r="H4" s="5" t="s">
        <v>121</v>
      </c>
      <c r="I4" s="9"/>
      <c r="J4" s="9"/>
      <c r="K4" s="8" t="s">
        <v>124</v>
      </c>
      <c r="L4" s="8" t="s">
        <v>124</v>
      </c>
      <c r="M4" s="8"/>
      <c r="N4" s="7" t="s">
        <v>125</v>
      </c>
      <c r="O4" s="7"/>
      <c r="P4" s="7" t="s">
        <v>125</v>
      </c>
    </row>
    <row r="6" spans="1:19" x14ac:dyDescent="0.15">
      <c r="A6" t="s">
        <v>129</v>
      </c>
    </row>
    <row r="7" spans="1:19" x14ac:dyDescent="0.15">
      <c r="A7" t="s">
        <v>130</v>
      </c>
    </row>
    <row r="9" spans="1:19" x14ac:dyDescent="0.15">
      <c r="H9" s="5" t="s">
        <v>138</v>
      </c>
    </row>
    <row r="10" spans="1:19" x14ac:dyDescent="0.15">
      <c r="H10" s="5" t="s">
        <v>141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8A23-E730-457D-ADBD-19BE3F7717D5}">
  <dimension ref="A1:AZ8"/>
  <sheetViews>
    <sheetView workbookViewId="0">
      <selection activeCell="H17" sqref="H17"/>
    </sheetView>
  </sheetViews>
  <sheetFormatPr defaultRowHeight="13.5" x14ac:dyDescent="0.15"/>
  <sheetData>
    <row r="1" spans="1:52" s="25" customFormat="1" ht="15" thickTop="1" x14ac:dyDescent="0.2">
      <c r="A1" s="20" t="s">
        <v>1</v>
      </c>
      <c r="B1" s="32" t="s">
        <v>123</v>
      </c>
      <c r="C1" s="21" t="s">
        <v>2</v>
      </c>
      <c r="D1" s="22" t="s">
        <v>3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R1" s="23"/>
      <c r="Y1" s="26"/>
    </row>
    <row r="2" spans="1:52" s="31" customFormat="1" ht="24" customHeight="1" thickBot="1" x14ac:dyDescent="0.2">
      <c r="A2" s="27" t="s">
        <v>4</v>
      </c>
      <c r="B2" s="29" t="s">
        <v>136</v>
      </c>
      <c r="C2" s="28" t="s">
        <v>5</v>
      </c>
      <c r="D2" s="28" t="s">
        <v>6</v>
      </c>
      <c r="E2" s="28" t="s">
        <v>7</v>
      </c>
      <c r="F2" s="28" t="s">
        <v>8</v>
      </c>
      <c r="G2" s="28" t="s">
        <v>9</v>
      </c>
      <c r="H2" s="28" t="s">
        <v>10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120</v>
      </c>
      <c r="P2" s="28" t="s">
        <v>17</v>
      </c>
      <c r="Q2" s="30" t="s">
        <v>18</v>
      </c>
      <c r="R2" s="30" t="s">
        <v>19</v>
      </c>
      <c r="S2" s="30" t="s">
        <v>20</v>
      </c>
      <c r="T2" s="30" t="s">
        <v>21</v>
      </c>
      <c r="U2" s="30" t="s">
        <v>22</v>
      </c>
      <c r="V2" s="30" t="s">
        <v>23</v>
      </c>
      <c r="W2" s="30" t="s">
        <v>24</v>
      </c>
      <c r="X2" s="30" t="s">
        <v>25</v>
      </c>
      <c r="Y2" s="30" t="s">
        <v>26</v>
      </c>
      <c r="Z2" s="30" t="s">
        <v>27</v>
      </c>
      <c r="AA2" s="30" t="s">
        <v>28</v>
      </c>
      <c r="AB2" s="30" t="s">
        <v>29</v>
      </c>
      <c r="AC2" s="30" t="s">
        <v>30</v>
      </c>
      <c r="AD2" s="30" t="s">
        <v>31</v>
      </c>
      <c r="AE2" s="30" t="s">
        <v>32</v>
      </c>
      <c r="AF2" s="30" t="s">
        <v>33</v>
      </c>
      <c r="AG2" s="30" t="s">
        <v>34</v>
      </c>
      <c r="AH2" s="30" t="s">
        <v>35</v>
      </c>
      <c r="AI2" s="30" t="s">
        <v>36</v>
      </c>
      <c r="AJ2" s="30" t="s">
        <v>37</v>
      </c>
      <c r="AK2" s="30" t="s">
        <v>38</v>
      </c>
      <c r="AL2" s="30" t="s">
        <v>39</v>
      </c>
      <c r="AM2" s="30" t="s">
        <v>40</v>
      </c>
      <c r="AN2" s="30" t="s">
        <v>41</v>
      </c>
      <c r="AO2" s="30" t="s">
        <v>42</v>
      </c>
      <c r="AP2" s="30" t="s">
        <v>43</v>
      </c>
      <c r="AQ2" s="30" t="s">
        <v>44</v>
      </c>
      <c r="AR2" s="30" t="s">
        <v>45</v>
      </c>
      <c r="AS2" s="30" t="s">
        <v>46</v>
      </c>
      <c r="AT2" s="30" t="s">
        <v>47</v>
      </c>
      <c r="AU2" s="30" t="s">
        <v>47</v>
      </c>
      <c r="AV2" s="30"/>
      <c r="AW2" s="30"/>
      <c r="AX2" s="30"/>
      <c r="AY2" s="14"/>
    </row>
    <row r="3" spans="1:52" s="2" customFormat="1" ht="24" customHeight="1" thickTop="1" x14ac:dyDescent="0.15">
      <c r="A3" s="15" t="s">
        <v>48</v>
      </c>
      <c r="B3" s="17"/>
      <c r="C3" s="16" t="s">
        <v>49</v>
      </c>
      <c r="D3" s="16" t="s">
        <v>50</v>
      </c>
      <c r="E3" s="16" t="s">
        <v>51</v>
      </c>
      <c r="F3" s="17" t="s">
        <v>52</v>
      </c>
      <c r="G3" s="16" t="s">
        <v>53</v>
      </c>
      <c r="H3" s="17" t="s">
        <v>54</v>
      </c>
      <c r="I3" s="17" t="s">
        <v>55</v>
      </c>
      <c r="J3" s="17" t="s">
        <v>56</v>
      </c>
      <c r="K3" s="16" t="s">
        <v>57</v>
      </c>
      <c r="L3" s="16" t="s">
        <v>58</v>
      </c>
      <c r="M3" s="16" t="s">
        <v>59</v>
      </c>
      <c r="N3" s="16" t="s">
        <v>60</v>
      </c>
      <c r="O3" s="16" t="s">
        <v>61</v>
      </c>
      <c r="P3" s="17" t="s">
        <v>62</v>
      </c>
      <c r="Q3" s="18" t="s">
        <v>63</v>
      </c>
      <c r="R3" s="18" t="s">
        <v>64</v>
      </c>
      <c r="S3" s="18" t="s">
        <v>65</v>
      </c>
      <c r="T3" s="18" t="s">
        <v>66</v>
      </c>
      <c r="U3" s="18" t="s">
        <v>67</v>
      </c>
      <c r="V3" s="18" t="s">
        <v>68</v>
      </c>
      <c r="W3" s="18" t="s">
        <v>69</v>
      </c>
      <c r="X3" s="18" t="s">
        <v>70</v>
      </c>
      <c r="Y3" s="18" t="s">
        <v>71</v>
      </c>
      <c r="Z3" s="18" t="s">
        <v>72</v>
      </c>
      <c r="AA3" s="18" t="s">
        <v>73</v>
      </c>
      <c r="AB3" s="18" t="s">
        <v>74</v>
      </c>
      <c r="AC3" s="18" t="s">
        <v>75</v>
      </c>
      <c r="AD3" s="19" t="s">
        <v>76</v>
      </c>
      <c r="AE3" s="19" t="s">
        <v>77</v>
      </c>
      <c r="AF3" s="19" t="s">
        <v>78</v>
      </c>
      <c r="AG3" s="19" t="s">
        <v>79</v>
      </c>
      <c r="AH3" s="19" t="s">
        <v>80</v>
      </c>
      <c r="AI3" s="18" t="s">
        <v>81</v>
      </c>
      <c r="AJ3" s="18" t="s">
        <v>82</v>
      </c>
      <c r="AK3" s="18" t="s">
        <v>83</v>
      </c>
      <c r="AL3" s="18" t="s">
        <v>84</v>
      </c>
      <c r="AM3" s="18" t="s">
        <v>85</v>
      </c>
      <c r="AN3" s="19" t="s">
        <v>86</v>
      </c>
      <c r="AO3" s="19" t="s">
        <v>87</v>
      </c>
      <c r="AP3" s="19" t="s">
        <v>88</v>
      </c>
      <c r="AQ3" s="18" t="s">
        <v>89</v>
      </c>
      <c r="AR3" s="18" t="s">
        <v>90</v>
      </c>
      <c r="AS3" s="18" t="s">
        <v>91</v>
      </c>
      <c r="AT3" s="18" t="s">
        <v>92</v>
      </c>
      <c r="AU3" s="18" t="s">
        <v>93</v>
      </c>
      <c r="AV3" s="18"/>
      <c r="AW3" s="18"/>
      <c r="AX3" s="18"/>
      <c r="AY3" s="1"/>
      <c r="AZ3" s="1"/>
    </row>
    <row r="4" spans="1:52" x14ac:dyDescent="0.15">
      <c r="A4" s="12" t="s">
        <v>127</v>
      </c>
      <c r="B4" s="4" t="s">
        <v>128</v>
      </c>
      <c r="M4" t="s">
        <v>126</v>
      </c>
    </row>
    <row r="5" spans="1:52" x14ac:dyDescent="0.15">
      <c r="A5" s="5" t="s">
        <v>121</v>
      </c>
      <c r="M5" s="5" t="s">
        <v>124</v>
      </c>
    </row>
    <row r="7" spans="1:52" x14ac:dyDescent="0.15">
      <c r="A7" t="s">
        <v>129</v>
      </c>
    </row>
    <row r="8" spans="1:52" x14ac:dyDescent="0.15">
      <c r="A8" t="s">
        <v>130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出力CSVパターン１</vt:lpstr>
      <vt:lpstr>出力CSVパターン2</vt:lpstr>
      <vt:lpstr>共通CSV出力1</vt:lpstr>
      <vt:lpstr>共通CSV出力2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y</cp:lastModifiedBy>
  <dcterms:created xsi:type="dcterms:W3CDTF">2006-09-16T00:00:00Z</dcterms:created>
  <dcterms:modified xsi:type="dcterms:W3CDTF">2022-07-13T16:51:57Z</dcterms:modified>
</cp:coreProperties>
</file>