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\Desktop\"/>
    </mc:Choice>
  </mc:AlternateContent>
  <xr:revisionPtr revIDLastSave="0" documentId="13_ncr:1_{EE2B9B7F-C5F7-4F14-A0E1-FE0FF830CD29}" xr6:coauthVersionLast="47" xr6:coauthVersionMax="47" xr10:uidLastSave="{00000000-0000-0000-0000-000000000000}"/>
  <bookViews>
    <workbookView xWindow="2385" yWindow="270" windowWidth="25800" windowHeight="16020" xr2:uid="{00000000-000D-0000-FFFF-FFFF00000000}"/>
  </bookViews>
  <sheets>
    <sheet name="出力csvパターン1" sheetId="3" r:id="rId1"/>
    <sheet name="出力csvパターン2" sheetId="7" r:id="rId2"/>
    <sheet name="共通出力csv1" sheetId="4" r:id="rId3"/>
    <sheet name="共通出力csv2" sheetId="5" r:id="rId4"/>
    <sheet name="照合結果案" sheetId="8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4" i="7" l="1"/>
  <c r="H3" i="4"/>
  <c r="G4" i="3"/>
</calcChain>
</file>

<file path=xl/sharedStrings.xml><?xml version="1.0" encoding="utf-8"?>
<sst xmlns="http://schemas.openxmlformats.org/spreadsheetml/2006/main" count="529" uniqueCount="252">
  <si>
    <t>商品名</t>
  </si>
  <si>
    <t>商品管理番号</t>
  </si>
  <si>
    <t>商品コード(JANコード等)</t>
    <phoneticPr fontId="6"/>
  </si>
  <si>
    <t>商品コードのタイプ</t>
  </si>
  <si>
    <t>使用しない支払い方法</t>
  </si>
  <si>
    <t xml:space="preserve"> 配送パターン</t>
  </si>
  <si>
    <t>販売価格</t>
  </si>
  <si>
    <t>ポイントパーセント</t>
  </si>
  <si>
    <t>販売価格の下限設定</t>
    <phoneticPr fontId="7"/>
  </si>
  <si>
    <t>販売価格の上限設定</t>
    <phoneticPr fontId="7"/>
  </si>
  <si>
    <t>商品のコンディション</t>
  </si>
  <si>
    <t>在庫数</t>
  </si>
  <si>
    <t>登録/削除</t>
  </si>
  <si>
    <t>海外配送</t>
  </si>
  <si>
    <t>商品タックスコード</t>
  </si>
  <si>
    <t>フルフィルメントセンターID</t>
  </si>
  <si>
    <t>出荷作業日数</t>
  </si>
  <si>
    <t>"電池の有無"</t>
  </si>
  <si>
    <t>"電池付属"</t>
  </si>
  <si>
    <t>"バッテリーセルタイプ"</t>
  </si>
  <si>
    <t>"電池のタイプ"</t>
  </si>
  <si>
    <t>"付属バッテリ個数"</t>
  </si>
  <si>
    <t>電池の重量(グラム)</t>
  </si>
  <si>
    <t>"リチウムイオン電池単数"</t>
  </si>
  <si>
    <t>"リチウムメタル電池単数"</t>
  </si>
  <si>
    <t>"リチウム電池パッケージ"</t>
  </si>
  <si>
    <t>"リチウム電池エネルギー量"</t>
  </si>
  <si>
    <t>"リチウム電池重量"</t>
  </si>
  <si>
    <t>この商品は、危険物に該当しますか？詳細については危険物確認ガイド{X}をご覧ください。1</t>
  </si>
  <si>
    <t>この商品は、危険物に該当しますか？詳細については危険物確認ガイド{X}をご覧ください。2</t>
  </si>
  <si>
    <t>この商品は、危険物に該当しますか？詳細については危険物確認ガイド{X}をご覧ください。3</t>
  </si>
  <si>
    <t>この商品は、危険物に該当しますか？詳細については危険物確認ガイド{X}をご覧ください。4</t>
  </si>
  <si>
    <t>この商品は、危険物に該当しますか？詳細については危険物確認ガイド{X}をご覧ください。5</t>
  </si>
  <si>
    <t>国連(UN)番号</t>
  </si>
  <si>
    <t>安全データシート(SDS) URL</t>
  </si>
  <si>
    <t>"商品の重量"</t>
  </si>
  <si>
    <t>"体積"</t>
  </si>
  <si>
    <t>引火点(°C)</t>
  </si>
  <si>
    <t>分類／危険物ラベル(適用されるものをすべて選択)1</t>
  </si>
  <si>
    <t>分類／危険物ラベル(適用されるものをすべて選択)2</t>
  </si>
  <si>
    <t>分類／危険物ラベル(適用されるものをすべて選択)3</t>
  </si>
  <si>
    <t>商品の重量の単位</t>
  </si>
  <si>
    <t>商品の容量の単位</t>
  </si>
  <si>
    <t>リチウム電池のエネルギー量測定単位</t>
  </si>
  <si>
    <t>リチウム電池の重量の測定単位</t>
  </si>
  <si>
    <t>sku</t>
  </si>
  <si>
    <t>product-id</t>
  </si>
  <si>
    <t>product-id-type</t>
  </si>
  <si>
    <t>optional-payment-type-exclusion</t>
  </si>
  <si>
    <t>merchant_shipping_group_name</t>
  </si>
  <si>
    <t>price</t>
  </si>
  <si>
    <t>standard-price-points-percent</t>
  </si>
  <si>
    <t>minimum-seller-allowed-price</t>
  </si>
  <si>
    <t>maximum-seller-allowed-price</t>
  </si>
  <si>
    <t>item-condition</t>
  </si>
  <si>
    <t>quantity</t>
  </si>
  <si>
    <t>add-delete</t>
  </si>
  <si>
    <t>will-ship-internationally</t>
  </si>
  <si>
    <t>item-note</t>
  </si>
  <si>
    <t>product-tax-code</t>
  </si>
  <si>
    <t>fulfillment-center-id</t>
  </si>
  <si>
    <t>handling-time</t>
  </si>
  <si>
    <t>batteries_required</t>
  </si>
  <si>
    <t>are_batteries_included</t>
  </si>
  <si>
    <t>battery_cell_composition</t>
  </si>
  <si>
    <t>battery_type</t>
  </si>
  <si>
    <t>number_of_batteries</t>
  </si>
  <si>
    <t>battery_weight</t>
  </si>
  <si>
    <t>number_of_lithium_ion_cells</t>
  </si>
  <si>
    <t>number_of_lithium_metal_cells</t>
  </si>
  <si>
    <t>lithium_battery_packaging</t>
  </si>
  <si>
    <t>lithium_battery_energy_content</t>
  </si>
  <si>
    <t>lithium_battery_weight</t>
  </si>
  <si>
    <t>supplier_declared_dg_hz_regulation1</t>
  </si>
  <si>
    <t>supplier_declared_dg_hz_regulation2</t>
  </si>
  <si>
    <t>supplier_declared_dg_hz_regulation3</t>
  </si>
  <si>
    <t>supplier_declared_dg_hz_regulation4</t>
  </si>
  <si>
    <t>supplier_declared_dg_hz_regulation5</t>
  </si>
  <si>
    <t>hazmat_united_nations_regulatory_id</t>
  </si>
  <si>
    <t>safety_data_sheet_url</t>
  </si>
  <si>
    <t>item_weight</t>
  </si>
  <si>
    <t>item_volume</t>
  </si>
  <si>
    <t>flash_point</t>
  </si>
  <si>
    <t>ghs_classification_class1</t>
  </si>
  <si>
    <t>ghs_classification_class2</t>
  </si>
  <si>
    <t>ghs_classification_class3</t>
  </si>
  <si>
    <t>item_weight_unit_of_measure</t>
  </si>
  <si>
    <t>item_volume_unit_of_measure</t>
  </si>
  <si>
    <t>lithium_battery_energy_content_unit_of_measure</t>
  </si>
  <si>
    <t>lithium_battery_weight_unit_of_measure</t>
  </si>
  <si>
    <t>battery_weight_unit_of_measure</t>
  </si>
  <si>
    <t>item_name</t>
  </si>
  <si>
    <t>condition_note</t>
  </si>
  <si>
    <t>leadtime</t>
  </si>
  <si>
    <t>shipping_group</t>
  </si>
  <si>
    <t>point</t>
  </si>
  <si>
    <t>autoprice_template_mode</t>
  </si>
  <si>
    <t>autoprice_template_id</t>
  </si>
  <si>
    <t>autoprice_stopper</t>
  </si>
  <si>
    <t>autoprice_stopper_upper</t>
  </si>
  <si>
    <t>purchase_cost</t>
  </si>
  <si>
    <t>memo</t>
  </si>
  <si>
    <t>is_delete</t>
  </si>
  <si>
    <t>SKU</t>
  </si>
  <si>
    <t>コンディション説明</t>
  </si>
  <si>
    <t>数量</t>
  </si>
  <si>
    <t>リードタイム</t>
  </si>
  <si>
    <t>価格</t>
  </si>
  <si>
    <t>配送方法</t>
  </si>
  <si>
    <t>ポイント</t>
  </si>
  <si>
    <t>自動価格モードID</t>
  </si>
  <si>
    <t>自動価格テンプレートID</t>
  </si>
  <si>
    <t>下限ストッパー</t>
  </si>
  <si>
    <t>上限ストッパー</t>
  </si>
  <si>
    <t>仕入れ価格</t>
  </si>
  <si>
    <t>メモ</t>
  </si>
  <si>
    <t>削除</t>
  </si>
  <si>
    <r>
      <rPr>
        <b/>
        <sz val="10"/>
        <rFont val="ＭＳ ゴシック"/>
        <family val="3"/>
        <charset val="128"/>
      </rPr>
      <t>商品メモ</t>
    </r>
    <phoneticPr fontId="1"/>
  </si>
  <si>
    <t>計算式</t>
    <rPh sb="0" eb="3">
      <t>ケイサンシキ</t>
    </rPh>
    <phoneticPr fontId="1"/>
  </si>
  <si>
    <t>計算欄</t>
    <rPh sb="0" eb="2">
      <t>ケイサンラン</t>
    </rPh>
    <phoneticPr fontId="1"/>
  </si>
  <si>
    <t>省略</t>
    <rPh sb="0" eb="2">
      <t>ショウリャク</t>
    </rPh>
    <phoneticPr fontId="1"/>
  </si>
  <si>
    <t>固定</t>
    <rPh sb="0" eb="2">
      <t>コテイ</t>
    </rPh>
    <phoneticPr fontId="1"/>
  </si>
  <si>
    <t>反映</t>
    <rPh sb="0" eb="2">
      <t>ハンエイ</t>
    </rPh>
    <phoneticPr fontId="1"/>
  </si>
  <si>
    <t>X</t>
    <phoneticPr fontId="1"/>
  </si>
  <si>
    <t>＝B4&amp;"NH"&amp;2204(年月)</t>
    <rPh sb="14" eb="15">
      <t>ネン</t>
    </rPh>
    <rPh sb="15" eb="16">
      <t>ツキ</t>
    </rPh>
    <phoneticPr fontId="1"/>
  </si>
  <si>
    <t>データベースよりISBNを反映</t>
    <rPh sb="13" eb="15">
      <t>ハンエイ</t>
    </rPh>
    <phoneticPr fontId="1"/>
  </si>
  <si>
    <t>＊真ん中に入るアルファベット二文字を指定できるようにしたい。</t>
    <rPh sb="1" eb="2">
      <t>マ</t>
    </rPh>
    <rPh sb="3" eb="4">
      <t>ナカ</t>
    </rPh>
    <rPh sb="5" eb="6">
      <t>ハイ</t>
    </rPh>
    <rPh sb="14" eb="17">
      <t>ニモジ</t>
    </rPh>
    <rPh sb="18" eb="20">
      <t>シテイ</t>
    </rPh>
    <phoneticPr fontId="1"/>
  </si>
  <si>
    <t>（例)コントロールパネルでプルダウンで選択できるように、新規追加機能ありで</t>
    <rPh sb="1" eb="2">
      <t>レイ</t>
    </rPh>
    <rPh sb="19" eb="21">
      <t>センタク</t>
    </rPh>
    <rPh sb="28" eb="30">
      <t>シンキ</t>
    </rPh>
    <rPh sb="30" eb="32">
      <t>ツイカ</t>
    </rPh>
    <rPh sb="32" eb="34">
      <t>キノウ</t>
    </rPh>
    <phoneticPr fontId="1"/>
  </si>
  <si>
    <t>予め入力しておく</t>
    <rPh sb="0" eb="1">
      <t>アラカジ</t>
    </rPh>
    <rPh sb="2" eb="4">
      <t>ニュウリョク</t>
    </rPh>
    <phoneticPr fontId="1"/>
  </si>
  <si>
    <t>説明文B</t>
    <rPh sb="0" eb="3">
      <t>セツメイブン</t>
    </rPh>
    <phoneticPr fontId="1"/>
  </si>
  <si>
    <t>説明文A</t>
    <rPh sb="0" eb="3">
      <t>セツメイブン</t>
    </rPh>
    <phoneticPr fontId="1"/>
  </si>
  <si>
    <t>計算欄</t>
    <rPh sb="0" eb="3">
      <t>ケイサンラン</t>
    </rPh>
    <phoneticPr fontId="1"/>
  </si>
  <si>
    <t>データベース若しくはスクレイピングデータより価格情報を反映</t>
    <rPh sb="6" eb="7">
      <t>モ</t>
    </rPh>
    <rPh sb="22" eb="24">
      <t>カカク</t>
    </rPh>
    <rPh sb="24" eb="26">
      <t>ジョウホウ</t>
    </rPh>
    <rPh sb="27" eb="29">
      <t>ハンエイ</t>
    </rPh>
    <phoneticPr fontId="1"/>
  </si>
  <si>
    <t>一次反映欄</t>
    <rPh sb="0" eb="1">
      <t>イチジ</t>
    </rPh>
    <rPh sb="1" eb="3">
      <t>ハンエイ</t>
    </rPh>
    <rPh sb="3" eb="4">
      <t>ラン</t>
    </rPh>
    <phoneticPr fontId="1"/>
  </si>
  <si>
    <t>ページURL</t>
  </si>
  <si>
    <t>フィールド1_テキスト</t>
  </si>
  <si>
    <t>フィールド1_リンク</t>
  </si>
  <si>
    <t>フィールド2</t>
  </si>
  <si>
    <t>フィールド3</t>
  </si>
  <si>
    <t>フィールド4</t>
  </si>
  <si>
    <t>現在の時刻</t>
  </si>
  <si>
    <t>https://www.kosho.or.jp/products/list.php?transactionid=19852baba35bdaf870c41296d85430ca3c03dcf6&amp;mode=search&amp;pageno=2302&amp;search_pageno=1&amp;product_id=&amp;reset_baseinfo_id=&amp;baseinfo_id=&amp;product_class_id=&amp;quantity=1&amp;from_mode=&amp;search_facet_publisher=&amp;search_word=&amp;search_name=&amp;search_name_matchtype=like&amp;search_author=&amp;search_author_matchtype=like&amp;search_publisher=%E5%AC%B2&amp;search_publisher_matchtype=not_like&amp;search_isbn=&amp;search_published_year_min=2010&amp;search_published_year_max=2022&amp;search_comment4=&amp;search_comment4_matchtype=like&amp;search_book_flg=1&amp;search_price_min=&amp;search_price_max=&amp;search_only_has_stock=1&amp;search_orderby=score&amp;search_sorttype=asc&amp;search_page_max=100&amp;search_image_disp=&amp;search_adult=2&amp;transactionid=19852baba35bdaf870c41296d85430ca3c03dcf6</t>
  </si>
  <si>
    <t>スキャンダルの世界史</t>
  </si>
  <si>
    <t>https://www.kosho.or.jp/products/detail.php?product_id=215412104</t>
  </si>
  <si>
    <t>海野弘                    、文春文庫                    、2012                                、1</t>
  </si>
  <si>
    <t>（文春文庫）初版・カバー</t>
  </si>
  <si>
    <t>海獣水族館─飼育と展示の生物学</t>
  </si>
  <si>
    <t>https://www.kosho.or.jp/products/detail.php?product_id=215410554</t>
  </si>
  <si>
    <t>村山司編著他                    、東海大学出版会                    、平22                                、1冊</t>
  </si>
  <si>
    <t>カバー(僅かヨレ)付　本体少ヤケ　小口少スレ・少汚れ</t>
  </si>
  <si>
    <t>革命と騒乱のエジプト―ソーシャルメディアとピーク・オイルの政治学</t>
  </si>
  <si>
    <t>https://www.kosho.or.jp/products/detail.php?product_id=215410495</t>
  </si>
  <si>
    <t>山本達也                    、慶応義塾大学出版会                    、平26                                、1冊</t>
  </si>
  <si>
    <t>カバー(少ヤケ・少汚れ・僅かヨレ)付　小口僅かスレ</t>
  </si>
  <si>
    <t>カール・フォン・リンネ</t>
  </si>
  <si>
    <t>https://www.kosho.or.jp/products/detail.php?product_id=215410450</t>
  </si>
  <si>
    <t>トミー・イーセスコーグ著　上倉あゆ子訳　武藤文人解説                    、東海大学出版会                    、平23                                、1冊</t>
  </si>
  <si>
    <t>カバー(背少ヨレ)付　表紙僅かヨレ</t>
  </si>
  <si>
    <t>野鳥フィールドノート(BIRDER SPECIAL)</t>
  </si>
  <si>
    <t>https://www.kosho.or.jp/products/detail.php?product_id=215410383</t>
  </si>
  <si>
    <t>水谷高英                    、文一総合出版                    、平23                                、1冊</t>
  </si>
  <si>
    <t>スケッチで楽しむバードウォッチング　カバー(少ヤケ・少破れ)付　本体背少破れ　小口少スレ</t>
  </si>
  <si>
    <t>野鳥写真の撮り方(BIRDER SPECIAL)</t>
  </si>
  <si>
    <t>https://www.kosho.or.jp/products/detail.php?product_id=215410381</t>
  </si>
  <si>
    <t>叶内拓哉                    、文一総合出版                    、平23                                、1冊</t>
  </si>
  <si>
    <t>カバー(少ヤケ)付　本体表紙少スレ・少汚れ　小口少スレ</t>
  </si>
  <si>
    <t>データが語るメディアの国際報道</t>
  </si>
  <si>
    <t>https://www.kosho.or.jp/products/detail.php?product_id=215410367</t>
  </si>
  <si>
    <t>吉田文彦                    、東海大学出版部                    、平26                                、1冊</t>
  </si>
  <si>
    <t>東海大学文学部叢書　カバー(僅かヤケ・僅かヨレ)付</t>
  </si>
  <si>
    <t>ものづくり上方「酒」ばなし</t>
  </si>
  <si>
    <t>https://www.kosho.or.jp/products/detail.php?product_id=215410360</t>
  </si>
  <si>
    <t>松永和浩編著                    、大阪大学出版会                    、平24                                、1冊</t>
  </si>
  <si>
    <t>先駆・革新の系譜と大阪高等工業学校醸造科　大阪大学総合学術博物館叢書8　カバー(僅かヨレ・少汚れ)付　全体少ヤケ　小口少汚れ</t>
  </si>
  <si>
    <t>オーヴ・アラップ─20世紀のマスタービルダー</t>
  </si>
  <si>
    <t>https://www.kosho.or.jp/products/detail.php?product_id=215410346</t>
  </si>
  <si>
    <t>ピーター・ジョーンズ著　渡邉研司訳                    、東海大学出版部                    、平29                                、1冊</t>
  </si>
  <si>
    <t>カバー付　小口少汚れ</t>
  </si>
  <si>
    <t>&lt;mer-item-thumbnail item-name="ronald stoops 写真集「work ronald friends」" src="https://static.mercdn.net/c!/w=240/thumb/photos/m69414645470_1.jpg?1647692748" src-webp="https://static.mercdn.net/c!/w=240,f=webp/thumb/photos/m69414645470_1.jpg?1647692748" alt="ronald stoops 写真集「work ronald friends」のサムネイル" size="fluid" price="17000" radius="" mer-defined=""&gt;&lt;/mer-item-thumbnail&gt;</t>
  </si>
  <si>
    <t>&lt;mer-item-thumbnail item-name="買ってはいけない家と土地" src="https://static.mercdn.net/c!/w=240/thumb/photos/m20061167135_1.jpg?1649268644" src-webp="https://static.mercdn.net/c!/w=240,f=webp/thumb/photos/m20061167135_1.jpg?1649268644" alt="買ってはいけない家と土地のサムネイル" size="fluid" price="480" radius="" mer-defined=""&gt;&lt;/mer-item-thumbnail&gt;</t>
  </si>
  <si>
    <t>&lt;mer-item-thumbnail item-name="★光文社文庫「珈琲城のキネマと事件」井上 雅彦" src="https://static.mercdn.net/c!/w=240/thumb/photos/m57648946403_1.jpg?1645286921" src-webp="https://static.mercdn.net/c!/w=240,f=webp/thumb/photos/m57648946403_1.jpg?1645286921" alt="★光文社文庫「珈琲城のキネマと事件」井上 雅彦のサムネイル" size="fluid" price="300" radius="" mer-defined=""&gt;&lt;/mer-item-thumbnail&gt;</t>
  </si>
  <si>
    <t>&lt;mer-item-thumbnail item-name="左京亜也 高嶺の花は、乱されたい １　他、合計２冊" src="https://static.mercdn.net/c!/w=240/thumb/photos/m32092837234_1.jpg?1649508915" src-webp="https://static.mercdn.net/c!/w=240,f=webp/thumb/photos/m32092837234_1.jpg?1649508915" alt="左京亜也 高嶺の花は、乱されたい １　他、合計２冊のサムネイル" size="fluid" price="1499" radius="" mer-defined=""&gt;&lt;/mer-item-thumbnail&gt;</t>
  </si>
  <si>
    <t>&lt;mer-item-thumbnail item-name="SEVENTEEN ジョシュア 缶バッジ アクスタ" src="https://static.mercdn.net/c!/w=240/thumb/photos/m49950517688_1.jpg?1631529973" src-webp="https://static.mercdn.net/c!/w=240,f=webp/thumb/photos/m49950517688_1.jpg?1631529973" alt="SEVENTEEN ジョシュア 缶バッジ アクスタのサムネイル" size="fluid" price="1555" radius="" mer-defined=""&gt;&lt;/mer-item-thumbnail&gt;</t>
  </si>
  <si>
    <t>&lt;mer-item-thumbnail item-name="ITZY アルバム" src="https://static.mercdn.net/c!/w=240/thumb/photos/m82973741824_1.jpg?1649692045" src-webp="https://static.mercdn.net/c!/w=240,f=webp/thumb/photos/m82973741824_1.jpg?1649692045" alt="ITZY アルバムのサムネイル" size="fluid" price="4300" radius="" mer-defined=""&gt;&lt;/mer-item-thumbnail&gt;</t>
  </si>
  <si>
    <t>&lt;mer-item-thumbnail item-name="THE BEST 展示会 ランダムキーリング ジミン" src="https://static.mercdn.net/c!/w=240/thumb/photos/m52554048003_1.jpg?1649692207" src-webp="https://static.mercdn.net/c!/w=240,f=webp/thumb/photos/m52554048003_1.jpg?1649692207" alt="THE BEST 展示会 ランダムキーリング ジミンのサムネイル" size="fluid" price="1150" radius="" mer-defined=""&gt;&lt;/mer-item-thumbnail&gt;</t>
  </si>
  <si>
    <t>&lt;mer-item-thumbnail item-name="きもの3枚から始める!　着こなし便利帳" src="https://static.mercdn.net/c!/w=240/thumb/photos/m59607210829_1.jpg?1649663851" src-webp="https://static.mercdn.net/c!/w=240,f=webp/thumb/photos/m59607210829_1.jpg?1649663851" alt="きもの3枚から始める!　着こなし便利帳のサムネイル" size="fluid" price="1400" radius="" mer-defined=""&gt;&lt;/mer-item-thumbnail&gt;</t>
  </si>
  <si>
    <t>&lt;mer-item-thumbnail item-name="IVE ジュエルケース　スタシ特典　ウォニョン" src="https://static.mercdn.net/c!/w=240/thumb/photos/m54625664599_1.jpg?1649692398" src-webp="https://static.mercdn.net/c!/w=240,f=webp/thumb/photos/m54625664599_1.jpg?1649692398" alt="IVE ジュエルケース　スタシ特典　ウォニョンのサムネイル" size="fluid" price="4999" radius="" mer-defined=""&gt;&lt;/mer-item-thumbnail&gt;</t>
  </si>
  <si>
    <t>憂国・橋づくし</t>
  </si>
  <si>
    <t>https://www.honyaclub.com/shop/g/g11204604/</t>
  </si>
  <si>
    <t>三島由紀夫</t>
  </si>
  <si>
    <t>新潮社</t>
  </si>
  <si>
    <t>161</t>
  </si>
  <si>
    <t>或る「小倉日記」伝・父系の指</t>
  </si>
  <si>
    <t>https://www.honyaclub.com/shop/g/g11182699/</t>
  </si>
  <si>
    <t>松本清張</t>
  </si>
  <si>
    <t>青竹・おさん</t>
  </si>
  <si>
    <t>https://www.honyaclub.com/shop/g/g11182697/</t>
  </si>
  <si>
    <t>山本周五郎</t>
  </si>
  <si>
    <t>みかぐらうた</t>
  </si>
  <si>
    <t>https://www.honyaclub.com/shop/g/g11379482/</t>
  </si>
  <si>
    <t>天理教道友社</t>
  </si>
  <si>
    <t>自由と民主主義の宣言</t>
  </si>
  <si>
    <t>https://www.honyaclub.com/shop/g/g11164555/</t>
  </si>
  <si>
    <t>日本共産党中央委員会出版局</t>
  </si>
  <si>
    <t>山椒大夫・最後の一句</t>
  </si>
  <si>
    <t>https://www.honyaclub.com/shop/g/g11182703/</t>
  </si>
  <si>
    <t>森鴎外</t>
  </si>
  <si>
    <t>ボッコちゃん・おーいでてこーい</t>
  </si>
  <si>
    <t>https://www.honyaclub.com/shop/g/g11182705/</t>
  </si>
  <si>
    <t>星新一</t>
  </si>
  <si>
    <t>富岳百景・走れメロス</t>
  </si>
  <si>
    <t>https://www.honyaclub.com/shop/g/g11182704/</t>
  </si>
  <si>
    <t>太宰治</t>
  </si>
  <si>
    <t>羅生門・蜘蛛の糸</t>
  </si>
  <si>
    <t>https://www.honyaclub.com/shop/g/g11182708/</t>
  </si>
  <si>
    <t>芥川龍之介</t>
  </si>
  <si>
    <t>幼児期の口唇・口蓋裂の子供たちへの理解のために</t>
  </si>
  <si>
    <t>https://www.honyaclub.com/shop/g/g11287524/</t>
  </si>
  <si>
    <t>日本口唇口蓋裂協会</t>
  </si>
  <si>
    <t>東山書房</t>
  </si>
  <si>
    <t>オツベルと象</t>
  </si>
  <si>
    <t>https://www.honyaclub.com/shop/g/g10868908/</t>
  </si>
  <si>
    <t>宮沢賢治</t>
  </si>
  <si>
    <t>全国学校図書館協議会</t>
  </si>
  <si>
    <t>182</t>
  </si>
  <si>
    <t>想像と妄想</t>
  </si>
  <si>
    <t>https://www.honyaclub.com/shop/g/g10868894/</t>
  </si>
  <si>
    <t>野坂昭如</t>
  </si>
  <si>
    <t>最後の殉教者</t>
  </si>
  <si>
    <t>https://www.honyaclub.com/shop/g/g10868891/</t>
  </si>
  <si>
    <t>遠藤周作</t>
  </si>
  <si>
    <t>広島へのさまざまな旅</t>
  </si>
  <si>
    <t>https://www.honyaclub.com/shop/g/g10868896/</t>
  </si>
  <si>
    <t>大江健三郎</t>
  </si>
  <si>
    <t>瀕死の琵琶湖</t>
  </si>
  <si>
    <t>https://www.honyaclub.com/shop/g/g11474361/</t>
  </si>
  <si>
    <t>立松和平</t>
  </si>
  <si>
    <t>新基礎英語（暗唱文例集）　新訂版</t>
  </si>
  <si>
    <t>https://www.honyaclub.com/shop/g/g10855361/</t>
  </si>
  <si>
    <t>文理</t>
  </si>
  <si>
    <t>にんげん　３年　新訂３版</t>
  </si>
  <si>
    <t>https://www.honyaclub.com/shop/g/g11057011/</t>
  </si>
  <si>
    <t>解放教育研究所</t>
  </si>
  <si>
    <t>明治図書出版</t>
  </si>
  <si>
    <t>助動詞・敬語チェックノート</t>
  </si>
  <si>
    <t>https://www.honyaclub.com/shop/g/g11024675/</t>
  </si>
  <si>
    <t>日栄社編集所</t>
  </si>
  <si>
    <t>日栄社</t>
  </si>
  <si>
    <t>基本英文（文法構文）１５０チェックノート</t>
  </si>
  <si>
    <t>https://www.honyaclub.com/shop/g/g11057607/</t>
  </si>
  <si>
    <t>データベース</t>
    <phoneticPr fontId="1"/>
  </si>
  <si>
    <t>スクレイピングデータ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</si>
</sst>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0"/>
      <name val="Arial"/>
      <family val="2"/>
    </font>
    <font>
      <b/>
      <sz val="11"/>
      <name val="Verdana"/>
      <family val="2"/>
    </font>
    <font>
      <b/>
      <sz val="11"/>
      <name val="ＭＳ Ｐゴシック"/>
      <family val="3"/>
      <charset val="128"/>
    </font>
    <font>
      <b/>
      <sz val="10"/>
      <name val="Verdana"/>
      <family val="2"/>
    </font>
    <font>
      <sz val="11"/>
      <color theme="1"/>
      <name val="ＭＳ Ｐゴシック"/>
      <family val="3"/>
      <charset val="128"/>
      <scheme val="minor"/>
    </font>
    <font>
      <sz val="10"/>
      <name val="Verdana"/>
      <family val="2"/>
    </font>
    <font>
      <b/>
      <sz val="10"/>
      <name val="ＭＳ ゴシック"/>
      <family val="3"/>
      <charset val="128"/>
    </font>
    <font>
      <b/>
      <sz val="10"/>
      <name val="ＭＳ Ｐゴシック"/>
      <family val="2"/>
      <charset val="128"/>
    </font>
    <font>
      <sz val="10"/>
      <name val="ＭＳ Ｐゴシック"/>
      <family val="2"/>
      <charset val="128"/>
    </font>
    <font>
      <sz val="11"/>
      <color theme="1"/>
      <name val="ＭＳ Ｐゴシック"/>
      <family val="2"/>
      <scheme val="minor"/>
    </font>
    <font>
      <sz val="11"/>
      <color rgb="FFFF0000"/>
      <name val="ＭＳ Ｐゴシック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43"/>
        <bgColor indexed="13"/>
      </patternFill>
    </fill>
    <fill>
      <patternFill patternType="solid">
        <fgColor indexed="4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0" fontId="2" fillId="0" borderId="0"/>
    <xf numFmtId="38" fontId="11" fillId="0" borderId="0" applyFont="0" applyFill="0" applyBorder="0" applyAlignment="0" applyProtection="0">
      <alignment vertical="center"/>
    </xf>
  </cellStyleXfs>
  <cellXfs count="30">
    <xf numFmtId="0" fontId="0" fillId="0" borderId="0" xfId="0"/>
    <xf numFmtId="49" fontId="3" fillId="0" borderId="0" xfId="1" applyNumberFormat="1" applyFont="1"/>
    <xf numFmtId="49" fontId="4" fillId="0" borderId="0" xfId="1" applyNumberFormat="1" applyFont="1"/>
    <xf numFmtId="49" fontId="2" fillId="0" borderId="0" xfId="1" applyNumberFormat="1"/>
    <xf numFmtId="0" fontId="2" fillId="0" borderId="0" xfId="1"/>
    <xf numFmtId="49" fontId="5" fillId="2" borderId="1" xfId="1" applyNumberFormat="1" applyFont="1" applyFill="1" applyBorder="1" applyAlignment="1">
      <alignment horizontal="center" vertical="center"/>
    </xf>
    <xf numFmtId="49" fontId="5" fillId="3" borderId="1" xfId="2" quotePrefix="1" applyNumberFormat="1" applyFont="1" applyFill="1" applyBorder="1" applyAlignment="1">
      <alignment horizontal="center" vertical="center"/>
    </xf>
    <xf numFmtId="49" fontId="5" fillId="0" borderId="1" xfId="1" applyNumberFormat="1" applyFont="1" applyBorder="1" applyAlignment="1">
      <alignment horizontal="center" vertical="center"/>
    </xf>
    <xf numFmtId="0" fontId="2" fillId="0" borderId="0" xfId="1" applyAlignment="1">
      <alignment horizontal="center" vertical="center"/>
    </xf>
    <xf numFmtId="49" fontId="5" fillId="3" borderId="1" xfId="2" quotePrefix="1" applyNumberFormat="1" applyFont="1" applyFill="1" applyBorder="1" applyAlignment="1" applyProtection="1">
      <alignment horizontal="center" vertical="center"/>
      <protection locked="0"/>
    </xf>
    <xf numFmtId="49" fontId="5" fillId="0" borderId="1" xfId="1" applyNumberFormat="1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2" fillId="0" borderId="0" xfId="1" applyAlignment="1">
      <alignment horizontal="center" vertical="center" wrapText="1"/>
    </xf>
    <xf numFmtId="0" fontId="0" fillId="0" borderId="0" xfId="0" applyAlignment="1">
      <alignment vertical="center"/>
    </xf>
    <xf numFmtId="0" fontId="0" fillId="4" borderId="0" xfId="0" applyFill="1"/>
    <xf numFmtId="49" fontId="10" fillId="0" borderId="0" xfId="1" applyNumberFormat="1" applyFont="1" applyAlignment="1">
      <alignment horizontal="center"/>
    </xf>
    <xf numFmtId="0" fontId="12" fillId="0" borderId="0" xfId="0" applyFont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/>
    <xf numFmtId="38" fontId="0" fillId="0" borderId="0" xfId="3" applyFont="1" applyAlignment="1"/>
    <xf numFmtId="49" fontId="0" fillId="4" borderId="0" xfId="0" applyNumberFormat="1" applyFill="1"/>
    <xf numFmtId="49" fontId="10" fillId="5" borderId="0" xfId="1" applyNumberFormat="1" applyFont="1" applyFill="1" applyAlignment="1">
      <alignment horizontal="center"/>
    </xf>
    <xf numFmtId="49" fontId="9" fillId="5" borderId="1" xfId="2" quotePrefix="1" applyNumberFormat="1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7" borderId="0" xfId="0" applyFill="1" applyAlignment="1">
      <alignment horizontal="center"/>
    </xf>
  </cellXfs>
  <cellStyles count="4">
    <cellStyle name="Normal 10 2" xfId="1" xr:uid="{F75F0577-DD6F-4CFB-9B8E-047D573E28DB}"/>
    <cellStyle name="Normal 2 3 2" xfId="2" xr:uid="{F58C14B2-457B-4550-A982-1354D789BC1C}"/>
    <cellStyle name="桁区切り" xfId="3" builtinId="6"/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19050</xdr:rowOff>
    </xdr:from>
    <xdr:to>
      <xdr:col>0</xdr:col>
      <xdr:colOff>38100</xdr:colOff>
      <xdr:row>0</xdr:row>
      <xdr:rowOff>38100</xdr:rowOff>
    </xdr:to>
    <xdr:sp macro="" textlink="">
      <xdr:nvSpPr>
        <xdr:cNvPr id="2" name="cboOfferCreation" hidden="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19050" y="19050"/>
          <a:ext cx="19050" cy="1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19050</xdr:rowOff>
    </xdr:from>
    <xdr:to>
      <xdr:col>0</xdr:col>
      <xdr:colOff>38100</xdr:colOff>
      <xdr:row>0</xdr:row>
      <xdr:rowOff>38100</xdr:rowOff>
    </xdr:to>
    <xdr:sp macro="" textlink="">
      <xdr:nvSpPr>
        <xdr:cNvPr id="2" name="cboOfferCreation" hidden="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rrowheads="1"/>
        </xdr:cNvSpPr>
      </xdr:nvSpPr>
      <xdr:spPr bwMode="auto">
        <a:xfrm>
          <a:off x="19050" y="19050"/>
          <a:ext cx="19050" cy="1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19050</xdr:rowOff>
    </xdr:from>
    <xdr:to>
      <xdr:col>0</xdr:col>
      <xdr:colOff>38100</xdr:colOff>
      <xdr:row>0</xdr:row>
      <xdr:rowOff>38100</xdr:rowOff>
    </xdr:to>
    <xdr:sp macro="" textlink="">
      <xdr:nvSpPr>
        <xdr:cNvPr id="2" name="cboOfferCreation" hidden="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rrowheads="1"/>
        </xdr:cNvSpPr>
      </xdr:nvSpPr>
      <xdr:spPr bwMode="auto">
        <a:xfrm>
          <a:off x="19050" y="19050"/>
          <a:ext cx="19050" cy="1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A10F4-A757-4636-8E44-D681CCE67AB0}">
  <dimension ref="A1:AZ10"/>
  <sheetViews>
    <sheetView tabSelected="1" workbookViewId="0">
      <selection activeCell="B17" sqref="B17"/>
    </sheetView>
  </sheetViews>
  <sheetFormatPr defaultRowHeight="13.5" x14ac:dyDescent="0.15"/>
  <cols>
    <col min="1" max="1" width="22.5" customWidth="1"/>
    <col min="2" max="2" width="24.375" customWidth="1"/>
    <col min="3" max="3" width="16.125" customWidth="1"/>
    <col min="6" max="6" width="12.375" customWidth="1"/>
  </cols>
  <sheetData>
    <row r="1" spans="1:52" s="4" customFormat="1" ht="14.25" x14ac:dyDescent="0.2">
      <c r="A1" s="1"/>
      <c r="B1" s="1"/>
      <c r="C1" s="2"/>
      <c r="D1" s="3"/>
      <c r="E1" s="3"/>
      <c r="F1" s="24" t="s">
        <v>120</v>
      </c>
      <c r="G1" s="3"/>
      <c r="H1" s="3"/>
      <c r="I1" s="3"/>
      <c r="J1" s="3"/>
      <c r="K1" s="3"/>
      <c r="L1" s="3"/>
      <c r="M1" s="3"/>
      <c r="N1" s="3"/>
      <c r="O1" s="3"/>
      <c r="P1" s="3"/>
      <c r="R1" s="3"/>
      <c r="Y1"/>
    </row>
    <row r="2" spans="1:52" s="8" customFormat="1" ht="24" customHeight="1" x14ac:dyDescent="0.15">
      <c r="A2" s="5" t="s">
        <v>1</v>
      </c>
      <c r="B2" s="6" t="s">
        <v>2</v>
      </c>
      <c r="C2" s="6" t="s">
        <v>3</v>
      </c>
      <c r="D2" s="6" t="s">
        <v>4</v>
      </c>
      <c r="E2" s="6" t="s">
        <v>5</v>
      </c>
      <c r="F2" s="25" t="s">
        <v>119</v>
      </c>
      <c r="G2" s="6" t="s">
        <v>6</v>
      </c>
      <c r="H2" s="6" t="s">
        <v>7</v>
      </c>
      <c r="I2" s="6" t="s">
        <v>8</v>
      </c>
      <c r="J2" s="6" t="s">
        <v>9</v>
      </c>
      <c r="K2" s="6" t="s">
        <v>10</v>
      </c>
      <c r="L2" s="6" t="s">
        <v>11</v>
      </c>
      <c r="M2" s="6" t="s">
        <v>12</v>
      </c>
      <c r="N2" s="6" t="s">
        <v>13</v>
      </c>
      <c r="O2" s="6" t="s">
        <v>117</v>
      </c>
      <c r="P2" s="6" t="s">
        <v>14</v>
      </c>
      <c r="Q2" s="7" t="s">
        <v>15</v>
      </c>
      <c r="R2" s="7" t="s">
        <v>16</v>
      </c>
      <c r="S2" s="7" t="s">
        <v>17</v>
      </c>
      <c r="T2" s="7" t="s">
        <v>18</v>
      </c>
      <c r="U2" s="7" t="s">
        <v>19</v>
      </c>
      <c r="V2" s="7" t="s">
        <v>20</v>
      </c>
      <c r="W2" s="7" t="s">
        <v>21</v>
      </c>
      <c r="X2" s="7" t="s">
        <v>22</v>
      </c>
      <c r="Y2" s="7" t="s">
        <v>23</v>
      </c>
      <c r="Z2" s="7" t="s">
        <v>24</v>
      </c>
      <c r="AA2" s="7" t="s">
        <v>25</v>
      </c>
      <c r="AB2" s="7" t="s">
        <v>26</v>
      </c>
      <c r="AC2" s="7" t="s">
        <v>27</v>
      </c>
      <c r="AD2" s="7" t="s">
        <v>28</v>
      </c>
      <c r="AE2" s="7" t="s">
        <v>29</v>
      </c>
      <c r="AF2" s="7" t="s">
        <v>30</v>
      </c>
      <c r="AG2" s="7" t="s">
        <v>31</v>
      </c>
      <c r="AH2" s="7" t="s">
        <v>32</v>
      </c>
      <c r="AI2" s="7" t="s">
        <v>33</v>
      </c>
      <c r="AJ2" s="7" t="s">
        <v>34</v>
      </c>
      <c r="AK2" s="7" t="s">
        <v>35</v>
      </c>
      <c r="AL2" s="7" t="s">
        <v>36</v>
      </c>
      <c r="AM2" s="7" t="s">
        <v>37</v>
      </c>
      <c r="AN2" s="7" t="s">
        <v>38</v>
      </c>
      <c r="AO2" s="7" t="s">
        <v>39</v>
      </c>
      <c r="AP2" s="7" t="s">
        <v>40</v>
      </c>
      <c r="AQ2" s="7" t="s">
        <v>41</v>
      </c>
      <c r="AR2" s="7" t="s">
        <v>42</v>
      </c>
      <c r="AS2" s="7" t="s">
        <v>43</v>
      </c>
      <c r="AT2" s="7" t="s">
        <v>44</v>
      </c>
      <c r="AU2" s="7" t="s">
        <v>44</v>
      </c>
      <c r="AV2" s="7"/>
      <c r="AW2" s="7"/>
      <c r="AX2" s="7"/>
      <c r="AY2"/>
    </row>
    <row r="3" spans="1:52" s="12" customFormat="1" ht="24" customHeight="1" x14ac:dyDescent="0.15">
      <c r="A3" s="5" t="s">
        <v>45</v>
      </c>
      <c r="B3" s="6" t="s">
        <v>46</v>
      </c>
      <c r="C3" s="6" t="s">
        <v>47</v>
      </c>
      <c r="D3" s="6" t="s">
        <v>48</v>
      </c>
      <c r="E3" s="9" t="s">
        <v>49</v>
      </c>
      <c r="F3" s="9"/>
      <c r="G3" s="6" t="s">
        <v>50</v>
      </c>
      <c r="H3" s="9" t="s">
        <v>51</v>
      </c>
      <c r="I3" s="9" t="s">
        <v>52</v>
      </c>
      <c r="J3" s="9" t="s">
        <v>53</v>
      </c>
      <c r="K3" s="6" t="s">
        <v>54</v>
      </c>
      <c r="L3" s="6" t="s">
        <v>55</v>
      </c>
      <c r="M3" s="6" t="s">
        <v>56</v>
      </c>
      <c r="N3" s="6" t="s">
        <v>57</v>
      </c>
      <c r="O3" s="6" t="s">
        <v>58</v>
      </c>
      <c r="P3" s="9" t="s">
        <v>59</v>
      </c>
      <c r="Q3" s="7" t="s">
        <v>60</v>
      </c>
      <c r="R3" s="7" t="s">
        <v>61</v>
      </c>
      <c r="S3" s="7" t="s">
        <v>62</v>
      </c>
      <c r="T3" s="7" t="s">
        <v>63</v>
      </c>
      <c r="U3" s="7" t="s">
        <v>64</v>
      </c>
      <c r="V3" s="7" t="s">
        <v>65</v>
      </c>
      <c r="W3" s="7" t="s">
        <v>66</v>
      </c>
      <c r="X3" s="7" t="s">
        <v>67</v>
      </c>
      <c r="Y3" s="7" t="s">
        <v>68</v>
      </c>
      <c r="Z3" s="7" t="s">
        <v>69</v>
      </c>
      <c r="AA3" s="7" t="s">
        <v>70</v>
      </c>
      <c r="AB3" s="7" t="s">
        <v>71</v>
      </c>
      <c r="AC3" s="7" t="s">
        <v>72</v>
      </c>
      <c r="AD3" s="10" t="s">
        <v>73</v>
      </c>
      <c r="AE3" s="10" t="s">
        <v>74</v>
      </c>
      <c r="AF3" s="10" t="s">
        <v>75</v>
      </c>
      <c r="AG3" s="10" t="s">
        <v>76</v>
      </c>
      <c r="AH3" s="10" t="s">
        <v>77</v>
      </c>
      <c r="AI3" s="7" t="s">
        <v>78</v>
      </c>
      <c r="AJ3" s="7" t="s">
        <v>79</v>
      </c>
      <c r="AK3" s="7" t="s">
        <v>80</v>
      </c>
      <c r="AL3" s="7" t="s">
        <v>81</v>
      </c>
      <c r="AM3" s="7" t="s">
        <v>82</v>
      </c>
      <c r="AN3" s="10" t="s">
        <v>83</v>
      </c>
      <c r="AO3" s="10" t="s">
        <v>84</v>
      </c>
      <c r="AP3" s="10" t="s">
        <v>85</v>
      </c>
      <c r="AQ3" s="7" t="s">
        <v>86</v>
      </c>
      <c r="AR3" s="7" t="s">
        <v>87</v>
      </c>
      <c r="AS3" s="7" t="s">
        <v>88</v>
      </c>
      <c r="AT3" s="7" t="s">
        <v>89</v>
      </c>
      <c r="AU3" s="7" t="s">
        <v>90</v>
      </c>
      <c r="AV3" s="7"/>
      <c r="AW3" s="7"/>
      <c r="AX3" s="7"/>
      <c r="AY3" s="11"/>
      <c r="AZ3" s="11"/>
    </row>
    <row r="4" spans="1:52" ht="21" customHeight="1" x14ac:dyDescent="0.15">
      <c r="A4" s="21" t="s">
        <v>124</v>
      </c>
      <c r="B4" s="14" t="s">
        <v>125</v>
      </c>
      <c r="C4" t="s">
        <v>128</v>
      </c>
      <c r="E4" t="s">
        <v>128</v>
      </c>
      <c r="F4" s="14" t="s">
        <v>132</v>
      </c>
      <c r="G4" s="22" t="e">
        <f>(F4+88+110+330+550+(F4*0.15))*(IF(F4&gt;20000, "1.52",IF(F4&gt;10000, "1.49",IF(F4&gt;5000, "1.46",IF(F4&gt;3000, "1.43", IF(F4&gt;=1, "1.42", ""))))))</f>
        <v>#VALUE!</v>
      </c>
      <c r="H4" t="s">
        <v>128</v>
      </c>
      <c r="K4" t="s">
        <v>128</v>
      </c>
      <c r="L4" t="s">
        <v>128</v>
      </c>
      <c r="O4" t="s">
        <v>130</v>
      </c>
    </row>
    <row r="5" spans="1:52" x14ac:dyDescent="0.15">
      <c r="A5" s="16" t="s">
        <v>118</v>
      </c>
      <c r="C5" s="16" t="s">
        <v>121</v>
      </c>
      <c r="E5" s="16" t="s">
        <v>121</v>
      </c>
      <c r="G5" s="16" t="s">
        <v>118</v>
      </c>
      <c r="H5" s="16" t="s">
        <v>121</v>
      </c>
      <c r="K5" s="16" t="s">
        <v>121</v>
      </c>
      <c r="L5" s="16" t="s">
        <v>121</v>
      </c>
      <c r="O5" s="16" t="s">
        <v>121</v>
      </c>
    </row>
    <row r="7" spans="1:52" x14ac:dyDescent="0.15">
      <c r="A7" t="s">
        <v>126</v>
      </c>
    </row>
    <row r="8" spans="1:52" x14ac:dyDescent="0.15">
      <c r="A8" t="s">
        <v>127</v>
      </c>
    </row>
    <row r="10" spans="1:52" x14ac:dyDescent="0.15">
      <c r="G10" s="22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18D6F-F20A-453C-A279-B95657B19851}">
  <dimension ref="A1:AZ8"/>
  <sheetViews>
    <sheetView workbookViewId="0">
      <selection activeCell="F16" sqref="F16"/>
    </sheetView>
  </sheetViews>
  <sheetFormatPr defaultRowHeight="13.5" x14ac:dyDescent="0.15"/>
  <cols>
    <col min="1" max="1" width="22.5" customWidth="1"/>
    <col min="2" max="2" width="26.25" customWidth="1"/>
    <col min="3" max="3" width="16.125" customWidth="1"/>
    <col min="6" max="6" width="23.25" customWidth="1"/>
  </cols>
  <sheetData>
    <row r="1" spans="1:52" s="4" customFormat="1" ht="14.25" x14ac:dyDescent="0.2">
      <c r="A1" s="1"/>
      <c r="B1" s="1"/>
      <c r="C1" s="2"/>
      <c r="D1" s="3"/>
      <c r="E1" s="3"/>
      <c r="F1" s="24" t="s">
        <v>120</v>
      </c>
      <c r="G1" s="3"/>
      <c r="H1" s="3"/>
      <c r="I1" s="3"/>
      <c r="J1" s="3"/>
      <c r="K1" s="3"/>
      <c r="L1" s="3"/>
      <c r="M1" s="3"/>
      <c r="N1" s="3"/>
      <c r="O1" s="3"/>
      <c r="P1" s="3"/>
      <c r="R1" s="3"/>
      <c r="Y1"/>
    </row>
    <row r="2" spans="1:52" s="8" customFormat="1" ht="24" customHeight="1" x14ac:dyDescent="0.15">
      <c r="A2" s="5" t="s">
        <v>1</v>
      </c>
      <c r="B2" s="6" t="s">
        <v>2</v>
      </c>
      <c r="C2" s="6" t="s">
        <v>3</v>
      </c>
      <c r="D2" s="6" t="s">
        <v>4</v>
      </c>
      <c r="E2" s="6" t="s">
        <v>5</v>
      </c>
      <c r="F2" s="25" t="s">
        <v>133</v>
      </c>
      <c r="G2" s="6" t="s">
        <v>6</v>
      </c>
      <c r="H2" s="6" t="s">
        <v>7</v>
      </c>
      <c r="I2" s="6" t="s">
        <v>8</v>
      </c>
      <c r="J2" s="6" t="s">
        <v>9</v>
      </c>
      <c r="K2" s="6" t="s">
        <v>10</v>
      </c>
      <c r="L2" s="6" t="s">
        <v>11</v>
      </c>
      <c r="M2" s="6" t="s">
        <v>12</v>
      </c>
      <c r="N2" s="6" t="s">
        <v>13</v>
      </c>
      <c r="O2" s="6" t="s">
        <v>117</v>
      </c>
      <c r="P2" s="6" t="s">
        <v>14</v>
      </c>
      <c r="Q2" s="7" t="s">
        <v>15</v>
      </c>
      <c r="R2" s="7" t="s">
        <v>16</v>
      </c>
      <c r="S2" s="7" t="s">
        <v>17</v>
      </c>
      <c r="T2" s="7" t="s">
        <v>18</v>
      </c>
      <c r="U2" s="7" t="s">
        <v>19</v>
      </c>
      <c r="V2" s="7" t="s">
        <v>20</v>
      </c>
      <c r="W2" s="7" t="s">
        <v>21</v>
      </c>
      <c r="X2" s="7" t="s">
        <v>22</v>
      </c>
      <c r="Y2" s="7" t="s">
        <v>23</v>
      </c>
      <c r="Z2" s="7" t="s">
        <v>24</v>
      </c>
      <c r="AA2" s="7" t="s">
        <v>25</v>
      </c>
      <c r="AB2" s="7" t="s">
        <v>26</v>
      </c>
      <c r="AC2" s="7" t="s">
        <v>27</v>
      </c>
      <c r="AD2" s="7" t="s">
        <v>28</v>
      </c>
      <c r="AE2" s="7" t="s">
        <v>29</v>
      </c>
      <c r="AF2" s="7" t="s">
        <v>30</v>
      </c>
      <c r="AG2" s="7" t="s">
        <v>31</v>
      </c>
      <c r="AH2" s="7" t="s">
        <v>32</v>
      </c>
      <c r="AI2" s="7" t="s">
        <v>33</v>
      </c>
      <c r="AJ2" s="7" t="s">
        <v>34</v>
      </c>
      <c r="AK2" s="7" t="s">
        <v>35</v>
      </c>
      <c r="AL2" s="7" t="s">
        <v>36</v>
      </c>
      <c r="AM2" s="7" t="s">
        <v>37</v>
      </c>
      <c r="AN2" s="7" t="s">
        <v>38</v>
      </c>
      <c r="AO2" s="7" t="s">
        <v>39</v>
      </c>
      <c r="AP2" s="7" t="s">
        <v>40</v>
      </c>
      <c r="AQ2" s="7" t="s">
        <v>41</v>
      </c>
      <c r="AR2" s="7" t="s">
        <v>42</v>
      </c>
      <c r="AS2" s="7" t="s">
        <v>43</v>
      </c>
      <c r="AT2" s="7" t="s">
        <v>44</v>
      </c>
      <c r="AU2" s="7" t="s">
        <v>44</v>
      </c>
      <c r="AV2" s="7"/>
      <c r="AW2" s="7"/>
      <c r="AX2" s="7"/>
      <c r="AY2"/>
    </row>
    <row r="3" spans="1:52" s="12" customFormat="1" ht="24" customHeight="1" x14ac:dyDescent="0.15">
      <c r="A3" s="5" t="s">
        <v>45</v>
      </c>
      <c r="B3" s="6" t="s">
        <v>46</v>
      </c>
      <c r="C3" s="6" t="s">
        <v>47</v>
      </c>
      <c r="D3" s="6" t="s">
        <v>48</v>
      </c>
      <c r="E3" s="9" t="s">
        <v>49</v>
      </c>
      <c r="F3" s="9"/>
      <c r="G3" s="6" t="s">
        <v>50</v>
      </c>
      <c r="H3" s="9" t="s">
        <v>51</v>
      </c>
      <c r="I3" s="9" t="s">
        <v>52</v>
      </c>
      <c r="J3" s="9" t="s">
        <v>53</v>
      </c>
      <c r="K3" s="6" t="s">
        <v>54</v>
      </c>
      <c r="L3" s="6" t="s">
        <v>55</v>
      </c>
      <c r="M3" s="6" t="s">
        <v>56</v>
      </c>
      <c r="N3" s="6" t="s">
        <v>57</v>
      </c>
      <c r="O3" s="6" t="s">
        <v>58</v>
      </c>
      <c r="P3" s="9" t="s">
        <v>59</v>
      </c>
      <c r="Q3" s="7" t="s">
        <v>60</v>
      </c>
      <c r="R3" s="7" t="s">
        <v>61</v>
      </c>
      <c r="S3" s="7" t="s">
        <v>62</v>
      </c>
      <c r="T3" s="7" t="s">
        <v>63</v>
      </c>
      <c r="U3" s="7" t="s">
        <v>64</v>
      </c>
      <c r="V3" s="7" t="s">
        <v>65</v>
      </c>
      <c r="W3" s="7" t="s">
        <v>66</v>
      </c>
      <c r="X3" s="7" t="s">
        <v>67</v>
      </c>
      <c r="Y3" s="7" t="s">
        <v>68</v>
      </c>
      <c r="Z3" s="7" t="s">
        <v>69</v>
      </c>
      <c r="AA3" s="7" t="s">
        <v>70</v>
      </c>
      <c r="AB3" s="7" t="s">
        <v>71</v>
      </c>
      <c r="AC3" s="7" t="s">
        <v>72</v>
      </c>
      <c r="AD3" s="10" t="s">
        <v>73</v>
      </c>
      <c r="AE3" s="10" t="s">
        <v>74</v>
      </c>
      <c r="AF3" s="10" t="s">
        <v>75</v>
      </c>
      <c r="AG3" s="10" t="s">
        <v>76</v>
      </c>
      <c r="AH3" s="10" t="s">
        <v>77</v>
      </c>
      <c r="AI3" s="7" t="s">
        <v>78</v>
      </c>
      <c r="AJ3" s="7" t="s">
        <v>79</v>
      </c>
      <c r="AK3" s="7" t="s">
        <v>80</v>
      </c>
      <c r="AL3" s="7" t="s">
        <v>81</v>
      </c>
      <c r="AM3" s="7" t="s">
        <v>82</v>
      </c>
      <c r="AN3" s="10" t="s">
        <v>83</v>
      </c>
      <c r="AO3" s="10" t="s">
        <v>84</v>
      </c>
      <c r="AP3" s="10" t="s">
        <v>85</v>
      </c>
      <c r="AQ3" s="7" t="s">
        <v>86</v>
      </c>
      <c r="AR3" s="7" t="s">
        <v>87</v>
      </c>
      <c r="AS3" s="7" t="s">
        <v>88</v>
      </c>
      <c r="AT3" s="7" t="s">
        <v>89</v>
      </c>
      <c r="AU3" s="7" t="s">
        <v>90</v>
      </c>
      <c r="AV3" s="7"/>
      <c r="AW3" s="7"/>
      <c r="AX3" s="7"/>
      <c r="AY3" s="11"/>
      <c r="AZ3" s="11"/>
    </row>
    <row r="4" spans="1:52" ht="21" customHeight="1" x14ac:dyDescent="0.15">
      <c r="A4" s="21" t="s">
        <v>124</v>
      </c>
      <c r="B4" s="14" t="s">
        <v>125</v>
      </c>
      <c r="C4" t="s">
        <v>128</v>
      </c>
      <c r="E4" t="s">
        <v>128</v>
      </c>
      <c r="F4" s="14" t="s">
        <v>132</v>
      </c>
      <c r="G4" s="22" t="e">
        <f>(F4+88+110+330+550+(F4*0.15))*(IF(F4&gt;20000, "1.52",IF(F4&gt;10000, "1.49",IF(F4&gt;5000, "1.46",IF(F4&gt;3000, "1.43", IF(F4&gt;=1, "1.42", ""))))))</f>
        <v>#VALUE!</v>
      </c>
      <c r="H4" t="s">
        <v>128</v>
      </c>
      <c r="K4" t="s">
        <v>128</v>
      </c>
      <c r="L4" t="s">
        <v>128</v>
      </c>
      <c r="O4" t="s">
        <v>129</v>
      </c>
    </row>
    <row r="5" spans="1:52" x14ac:dyDescent="0.15">
      <c r="A5" s="16" t="s">
        <v>118</v>
      </c>
      <c r="C5" s="16" t="s">
        <v>121</v>
      </c>
      <c r="E5" s="16" t="s">
        <v>121</v>
      </c>
      <c r="G5" s="16" t="s">
        <v>118</v>
      </c>
      <c r="H5" s="16" t="s">
        <v>121</v>
      </c>
      <c r="K5" s="16" t="s">
        <v>121</v>
      </c>
      <c r="L5" s="16" t="s">
        <v>121</v>
      </c>
      <c r="O5" s="16" t="s">
        <v>121</v>
      </c>
    </row>
    <row r="7" spans="1:52" x14ac:dyDescent="0.15">
      <c r="A7" t="s">
        <v>126</v>
      </c>
    </row>
    <row r="8" spans="1:52" x14ac:dyDescent="0.15">
      <c r="A8" t="s">
        <v>127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46680-9242-473C-B88A-C14A0BDFBC98}">
  <dimension ref="A1:S7"/>
  <sheetViews>
    <sheetView workbookViewId="0">
      <selection activeCell="A3" sqref="A3"/>
    </sheetView>
  </sheetViews>
  <sheetFormatPr defaultRowHeight="13.5" x14ac:dyDescent="0.15"/>
  <cols>
    <col min="1" max="1" width="20.125" customWidth="1"/>
    <col min="2" max="2" width="8.5" customWidth="1"/>
  </cols>
  <sheetData>
    <row r="1" spans="1:19" s="13" customFormat="1" x14ac:dyDescent="0.15">
      <c r="A1" s="13" t="s">
        <v>45</v>
      </c>
      <c r="B1" s="25" t="s">
        <v>133</v>
      </c>
      <c r="C1" s="13" t="s">
        <v>91</v>
      </c>
      <c r="D1" s="13" t="s">
        <v>92</v>
      </c>
      <c r="E1" s="13" t="s">
        <v>55</v>
      </c>
      <c r="F1" s="13" t="s">
        <v>93</v>
      </c>
      <c r="G1" s="25" t="s">
        <v>133</v>
      </c>
      <c r="H1" s="13" t="s">
        <v>50</v>
      </c>
      <c r="I1" s="13" t="s">
        <v>94</v>
      </c>
      <c r="J1" s="13" t="s">
        <v>95</v>
      </c>
      <c r="K1" s="13" t="s">
        <v>96</v>
      </c>
      <c r="L1" s="13" t="s">
        <v>97</v>
      </c>
      <c r="N1" s="13" t="s">
        <v>98</v>
      </c>
      <c r="P1" s="13" t="s">
        <v>99</v>
      </c>
      <c r="Q1" s="13" t="s">
        <v>100</v>
      </c>
      <c r="R1" s="13" t="s">
        <v>101</v>
      </c>
      <c r="S1" s="13" t="s">
        <v>102</v>
      </c>
    </row>
    <row r="2" spans="1:19" s="13" customFormat="1" x14ac:dyDescent="0.15">
      <c r="A2" s="13" t="s">
        <v>103</v>
      </c>
      <c r="C2" s="13" t="s">
        <v>0</v>
      </c>
      <c r="D2" s="13" t="s">
        <v>104</v>
      </c>
      <c r="E2" s="13" t="s">
        <v>105</v>
      </c>
      <c r="F2" s="13" t="s">
        <v>106</v>
      </c>
      <c r="H2" s="13" t="s">
        <v>107</v>
      </c>
      <c r="I2" s="13" t="s">
        <v>108</v>
      </c>
      <c r="J2" s="13" t="s">
        <v>109</v>
      </c>
      <c r="K2" s="13" t="s">
        <v>110</v>
      </c>
      <c r="L2" s="13" t="s">
        <v>111</v>
      </c>
      <c r="M2" s="13" t="s">
        <v>131</v>
      </c>
      <c r="N2" s="13" t="s">
        <v>112</v>
      </c>
      <c r="O2" s="13" t="s">
        <v>131</v>
      </c>
      <c r="P2" s="13" t="s">
        <v>113</v>
      </c>
      <c r="Q2" s="13" t="s">
        <v>114</v>
      </c>
      <c r="R2" s="13" t="s">
        <v>115</v>
      </c>
      <c r="S2" s="13" t="s">
        <v>116</v>
      </c>
    </row>
    <row r="3" spans="1:19" s="13" customFormat="1" x14ac:dyDescent="0.15">
      <c r="A3" s="21" t="s">
        <v>124</v>
      </c>
      <c r="B3" s="14" t="s">
        <v>125</v>
      </c>
      <c r="E3" s="13">
        <v>1</v>
      </c>
      <c r="F3" s="13">
        <v>10</v>
      </c>
      <c r="G3" s="14" t="s">
        <v>132</v>
      </c>
      <c r="H3" s="13" t="e">
        <f>(G3+88+110+330+550+(G3*0.15))*(IF(G3&gt;20000, "1.52",IF(G3&gt;10000, "1.49",IF(G3&gt;5000, "1.46",IF(G3&gt;3000, "1.43", IF(G3&gt;=1, "1.42", ""))))))</f>
        <v>#VALUE!</v>
      </c>
      <c r="K3" s="13">
        <v>1</v>
      </c>
      <c r="L3" s="13">
        <v>2651</v>
      </c>
      <c r="N3" s="13">
        <v>1460</v>
      </c>
      <c r="P3" s="13">
        <v>4380</v>
      </c>
    </row>
    <row r="4" spans="1:19" x14ac:dyDescent="0.15">
      <c r="A4" s="16" t="s">
        <v>118</v>
      </c>
      <c r="B4" s="17"/>
      <c r="E4" s="19" t="s">
        <v>121</v>
      </c>
      <c r="F4" s="19" t="s">
        <v>121</v>
      </c>
      <c r="G4" s="19"/>
      <c r="H4" s="16" t="s">
        <v>118</v>
      </c>
      <c r="I4" s="20"/>
      <c r="J4" s="20"/>
      <c r="K4" s="19" t="s">
        <v>121</v>
      </c>
      <c r="L4" s="19" t="s">
        <v>121</v>
      </c>
      <c r="M4" s="19"/>
      <c r="N4" s="18" t="s">
        <v>122</v>
      </c>
      <c r="O4" s="18"/>
      <c r="P4" s="18" t="s">
        <v>122</v>
      </c>
    </row>
    <row r="6" spans="1:19" x14ac:dyDescent="0.15">
      <c r="A6" t="s">
        <v>126</v>
      </c>
    </row>
    <row r="7" spans="1:19" x14ac:dyDescent="0.15">
      <c r="A7" t="s">
        <v>127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18A23-E730-457D-ADBD-19BE3F7717D5}">
  <dimension ref="A1:AZ8"/>
  <sheetViews>
    <sheetView workbookViewId="0">
      <selection activeCell="G22" sqref="G22"/>
    </sheetView>
  </sheetViews>
  <sheetFormatPr defaultRowHeight="13.5" x14ac:dyDescent="0.15"/>
  <sheetData>
    <row r="1" spans="1:52" s="4" customFormat="1" ht="14.25" x14ac:dyDescent="0.2">
      <c r="A1" s="1"/>
      <c r="B1" s="15" t="s">
        <v>120</v>
      </c>
      <c r="C1" s="1"/>
      <c r="D1" s="2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R1" s="3"/>
      <c r="Y1"/>
    </row>
    <row r="2" spans="1:52" s="8" customFormat="1" ht="24" customHeight="1" x14ac:dyDescent="0.15">
      <c r="A2" s="5" t="s">
        <v>1</v>
      </c>
      <c r="B2" s="25" t="s">
        <v>133</v>
      </c>
      <c r="C2" s="6" t="s">
        <v>2</v>
      </c>
      <c r="D2" s="6" t="s">
        <v>3</v>
      </c>
      <c r="E2" s="6" t="s">
        <v>4</v>
      </c>
      <c r="F2" s="6" t="s">
        <v>5</v>
      </c>
      <c r="G2" s="6" t="s">
        <v>6</v>
      </c>
      <c r="H2" s="6" t="s">
        <v>7</v>
      </c>
      <c r="I2" s="6" t="s">
        <v>8</v>
      </c>
      <c r="J2" s="6" t="s">
        <v>9</v>
      </c>
      <c r="K2" s="6" t="s">
        <v>10</v>
      </c>
      <c r="L2" s="6" t="s">
        <v>11</v>
      </c>
      <c r="M2" s="6" t="s">
        <v>12</v>
      </c>
      <c r="N2" s="6" t="s">
        <v>13</v>
      </c>
      <c r="O2" s="6" t="s">
        <v>117</v>
      </c>
      <c r="P2" s="6" t="s">
        <v>14</v>
      </c>
      <c r="Q2" s="7" t="s">
        <v>15</v>
      </c>
      <c r="R2" s="7" t="s">
        <v>16</v>
      </c>
      <c r="S2" s="7" t="s">
        <v>17</v>
      </c>
      <c r="T2" s="7" t="s">
        <v>18</v>
      </c>
      <c r="U2" s="7" t="s">
        <v>19</v>
      </c>
      <c r="V2" s="7" t="s">
        <v>20</v>
      </c>
      <c r="W2" s="7" t="s">
        <v>21</v>
      </c>
      <c r="X2" s="7" t="s">
        <v>22</v>
      </c>
      <c r="Y2" s="7" t="s">
        <v>23</v>
      </c>
      <c r="Z2" s="7" t="s">
        <v>24</v>
      </c>
      <c r="AA2" s="7" t="s">
        <v>25</v>
      </c>
      <c r="AB2" s="7" t="s">
        <v>26</v>
      </c>
      <c r="AC2" s="7" t="s">
        <v>27</v>
      </c>
      <c r="AD2" s="7" t="s">
        <v>28</v>
      </c>
      <c r="AE2" s="7" t="s">
        <v>29</v>
      </c>
      <c r="AF2" s="7" t="s">
        <v>30</v>
      </c>
      <c r="AG2" s="7" t="s">
        <v>31</v>
      </c>
      <c r="AH2" s="7" t="s">
        <v>32</v>
      </c>
      <c r="AI2" s="7" t="s">
        <v>33</v>
      </c>
      <c r="AJ2" s="7" t="s">
        <v>34</v>
      </c>
      <c r="AK2" s="7" t="s">
        <v>35</v>
      </c>
      <c r="AL2" s="7" t="s">
        <v>36</v>
      </c>
      <c r="AM2" s="7" t="s">
        <v>37</v>
      </c>
      <c r="AN2" s="7" t="s">
        <v>38</v>
      </c>
      <c r="AO2" s="7" t="s">
        <v>39</v>
      </c>
      <c r="AP2" s="7" t="s">
        <v>40</v>
      </c>
      <c r="AQ2" s="7" t="s">
        <v>41</v>
      </c>
      <c r="AR2" s="7" t="s">
        <v>42</v>
      </c>
      <c r="AS2" s="7" t="s">
        <v>43</v>
      </c>
      <c r="AT2" s="7" t="s">
        <v>44</v>
      </c>
      <c r="AU2" s="7" t="s">
        <v>44</v>
      </c>
      <c r="AV2" s="7"/>
      <c r="AW2" s="7"/>
      <c r="AX2" s="7"/>
      <c r="AY2"/>
    </row>
    <row r="3" spans="1:52" s="12" customFormat="1" ht="24" customHeight="1" x14ac:dyDescent="0.15">
      <c r="A3" s="5" t="s">
        <v>45</v>
      </c>
      <c r="B3" s="9"/>
      <c r="C3" s="6" t="s">
        <v>46</v>
      </c>
      <c r="D3" s="6" t="s">
        <v>47</v>
      </c>
      <c r="E3" s="6" t="s">
        <v>48</v>
      </c>
      <c r="F3" s="9" t="s">
        <v>49</v>
      </c>
      <c r="G3" s="6" t="s">
        <v>50</v>
      </c>
      <c r="H3" s="9" t="s">
        <v>51</v>
      </c>
      <c r="I3" s="9" t="s">
        <v>52</v>
      </c>
      <c r="J3" s="9" t="s">
        <v>53</v>
      </c>
      <c r="K3" s="6" t="s">
        <v>54</v>
      </c>
      <c r="L3" s="6" t="s">
        <v>55</v>
      </c>
      <c r="M3" s="6" t="s">
        <v>56</v>
      </c>
      <c r="N3" s="6" t="s">
        <v>57</v>
      </c>
      <c r="O3" s="6" t="s">
        <v>58</v>
      </c>
      <c r="P3" s="9" t="s">
        <v>59</v>
      </c>
      <c r="Q3" s="7" t="s">
        <v>60</v>
      </c>
      <c r="R3" s="7" t="s">
        <v>61</v>
      </c>
      <c r="S3" s="7" t="s">
        <v>62</v>
      </c>
      <c r="T3" s="7" t="s">
        <v>63</v>
      </c>
      <c r="U3" s="7" t="s">
        <v>64</v>
      </c>
      <c r="V3" s="7" t="s">
        <v>65</v>
      </c>
      <c r="W3" s="7" t="s">
        <v>66</v>
      </c>
      <c r="X3" s="7" t="s">
        <v>67</v>
      </c>
      <c r="Y3" s="7" t="s">
        <v>68</v>
      </c>
      <c r="Z3" s="7" t="s">
        <v>69</v>
      </c>
      <c r="AA3" s="7" t="s">
        <v>70</v>
      </c>
      <c r="AB3" s="7" t="s">
        <v>71</v>
      </c>
      <c r="AC3" s="7" t="s">
        <v>72</v>
      </c>
      <c r="AD3" s="10" t="s">
        <v>73</v>
      </c>
      <c r="AE3" s="10" t="s">
        <v>74</v>
      </c>
      <c r="AF3" s="10" t="s">
        <v>75</v>
      </c>
      <c r="AG3" s="10" t="s">
        <v>76</v>
      </c>
      <c r="AH3" s="10" t="s">
        <v>77</v>
      </c>
      <c r="AI3" s="7" t="s">
        <v>78</v>
      </c>
      <c r="AJ3" s="7" t="s">
        <v>79</v>
      </c>
      <c r="AK3" s="7" t="s">
        <v>80</v>
      </c>
      <c r="AL3" s="7" t="s">
        <v>81</v>
      </c>
      <c r="AM3" s="7" t="s">
        <v>82</v>
      </c>
      <c r="AN3" s="10" t="s">
        <v>83</v>
      </c>
      <c r="AO3" s="10" t="s">
        <v>84</v>
      </c>
      <c r="AP3" s="10" t="s">
        <v>85</v>
      </c>
      <c r="AQ3" s="7" t="s">
        <v>86</v>
      </c>
      <c r="AR3" s="7" t="s">
        <v>87</v>
      </c>
      <c r="AS3" s="7" t="s">
        <v>88</v>
      </c>
      <c r="AT3" s="7" t="s">
        <v>89</v>
      </c>
      <c r="AU3" s="7" t="s">
        <v>90</v>
      </c>
      <c r="AV3" s="7"/>
      <c r="AW3" s="7"/>
      <c r="AX3" s="7"/>
      <c r="AY3" s="11"/>
      <c r="AZ3" s="11"/>
    </row>
    <row r="4" spans="1:52" x14ac:dyDescent="0.15">
      <c r="A4" s="23" t="s">
        <v>124</v>
      </c>
      <c r="B4" s="14" t="s">
        <v>125</v>
      </c>
      <c r="M4" t="s">
        <v>123</v>
      </c>
    </row>
    <row r="5" spans="1:52" x14ac:dyDescent="0.15">
      <c r="A5" s="16" t="s">
        <v>118</v>
      </c>
      <c r="M5" s="16" t="s">
        <v>121</v>
      </c>
    </row>
    <row r="7" spans="1:52" x14ac:dyDescent="0.15">
      <c r="A7" t="s">
        <v>126</v>
      </c>
    </row>
    <row r="8" spans="1:52" x14ac:dyDescent="0.15">
      <c r="A8" t="s">
        <v>127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6208D-3ECC-4E08-8783-AD465FFB3C23}">
  <dimension ref="A1:N23"/>
  <sheetViews>
    <sheetView workbookViewId="0">
      <selection activeCell="H30" sqref="H30"/>
    </sheetView>
  </sheetViews>
  <sheetFormatPr defaultRowHeight="13.5" x14ac:dyDescent="0.15"/>
  <sheetData>
    <row r="1" spans="1:14" ht="14.25" thickBot="1" x14ac:dyDescent="0.2">
      <c r="A1" s="26" t="s">
        <v>250</v>
      </c>
      <c r="B1" s="27"/>
      <c r="C1" s="27"/>
      <c r="D1" s="27"/>
      <c r="E1" s="27"/>
      <c r="F1" s="27"/>
      <c r="G1" s="28"/>
      <c r="H1" s="29" t="s">
        <v>251</v>
      </c>
      <c r="I1" s="29"/>
      <c r="J1" s="29"/>
      <c r="K1" s="29"/>
      <c r="L1" s="29"/>
      <c r="M1" s="29"/>
      <c r="N1" s="29"/>
    </row>
    <row r="2" spans="1:14" x14ac:dyDescent="0.15">
      <c r="A2" t="s">
        <v>187</v>
      </c>
      <c r="B2" t="s">
        <v>188</v>
      </c>
      <c r="C2">
        <v>1996</v>
      </c>
      <c r="D2" t="s">
        <v>189</v>
      </c>
      <c r="E2">
        <v>9784109400114</v>
      </c>
      <c r="F2" t="s">
        <v>190</v>
      </c>
      <c r="G2" t="s">
        <v>191</v>
      </c>
      <c r="H2" t="s">
        <v>134</v>
      </c>
      <c r="I2" t="s">
        <v>135</v>
      </c>
      <c r="J2" t="s">
        <v>136</v>
      </c>
      <c r="K2" t="s">
        <v>137</v>
      </c>
      <c r="L2" t="s">
        <v>138</v>
      </c>
      <c r="M2" t="s">
        <v>139</v>
      </c>
      <c r="N2" t="s">
        <v>140</v>
      </c>
    </row>
    <row r="3" spans="1:14" x14ac:dyDescent="0.15">
      <c r="A3" t="s">
        <v>192</v>
      </c>
      <c r="B3" t="s">
        <v>193</v>
      </c>
      <c r="C3">
        <v>1996</v>
      </c>
      <c r="D3" t="s">
        <v>194</v>
      </c>
      <c r="E3">
        <v>9784109400077</v>
      </c>
      <c r="F3" t="s">
        <v>190</v>
      </c>
      <c r="G3" t="s">
        <v>191</v>
      </c>
      <c r="H3" t="s">
        <v>141</v>
      </c>
      <c r="I3" t="s">
        <v>142</v>
      </c>
      <c r="J3" t="s">
        <v>143</v>
      </c>
      <c r="K3">
        <v>500</v>
      </c>
      <c r="L3" t="s">
        <v>144</v>
      </c>
      <c r="M3" t="s">
        <v>145</v>
      </c>
      <c r="N3">
        <v>44486.343565092589</v>
      </c>
    </row>
    <row r="4" spans="1:14" x14ac:dyDescent="0.15">
      <c r="A4" t="s">
        <v>195</v>
      </c>
      <c r="B4" t="s">
        <v>196</v>
      </c>
      <c r="C4">
        <v>1996</v>
      </c>
      <c r="D4" t="s">
        <v>197</v>
      </c>
      <c r="E4">
        <v>9784109400039</v>
      </c>
      <c r="F4" t="s">
        <v>190</v>
      </c>
      <c r="G4" t="s">
        <v>191</v>
      </c>
      <c r="H4" t="s">
        <v>141</v>
      </c>
      <c r="I4" t="s">
        <v>146</v>
      </c>
      <c r="J4" t="s">
        <v>147</v>
      </c>
      <c r="K4">
        <v>1900</v>
      </c>
      <c r="L4" t="s">
        <v>148</v>
      </c>
      <c r="M4" t="s">
        <v>149</v>
      </c>
      <c r="N4">
        <v>44486.343565960648</v>
      </c>
    </row>
    <row r="5" spans="1:14" x14ac:dyDescent="0.15">
      <c r="A5" t="s">
        <v>198</v>
      </c>
      <c r="B5" t="s">
        <v>199</v>
      </c>
      <c r="C5">
        <v>1996</v>
      </c>
      <c r="E5">
        <v>9784807301614</v>
      </c>
      <c r="F5" t="s">
        <v>200</v>
      </c>
      <c r="G5" t="s">
        <v>191</v>
      </c>
      <c r="H5" t="s">
        <v>141</v>
      </c>
      <c r="I5" t="s">
        <v>150</v>
      </c>
      <c r="J5" t="s">
        <v>151</v>
      </c>
      <c r="K5">
        <v>1000</v>
      </c>
      <c r="L5" t="s">
        <v>152</v>
      </c>
      <c r="M5" t="s">
        <v>153</v>
      </c>
      <c r="N5">
        <v>44486.343566504627</v>
      </c>
    </row>
    <row r="6" spans="1:14" x14ac:dyDescent="0.15">
      <c r="A6" t="s">
        <v>201</v>
      </c>
      <c r="B6" t="s">
        <v>202</v>
      </c>
      <c r="C6">
        <v>1996</v>
      </c>
      <c r="E6">
        <v>9784530014935</v>
      </c>
      <c r="F6" t="s">
        <v>203</v>
      </c>
      <c r="G6" t="s">
        <v>191</v>
      </c>
      <c r="H6" t="s">
        <v>141</v>
      </c>
      <c r="I6" t="s">
        <v>154</v>
      </c>
      <c r="J6" t="s">
        <v>155</v>
      </c>
      <c r="K6">
        <v>1100</v>
      </c>
      <c r="L6" t="s">
        <v>156</v>
      </c>
      <c r="M6" t="s">
        <v>157</v>
      </c>
      <c r="N6">
        <v>44486.343567094904</v>
      </c>
    </row>
    <row r="7" spans="1:14" x14ac:dyDescent="0.15">
      <c r="A7" t="s">
        <v>204</v>
      </c>
      <c r="B7" t="s">
        <v>205</v>
      </c>
      <c r="C7">
        <v>1996</v>
      </c>
      <c r="D7" t="s">
        <v>206</v>
      </c>
      <c r="E7">
        <v>9784109400008</v>
      </c>
      <c r="F7" t="s">
        <v>190</v>
      </c>
      <c r="G7" t="s">
        <v>191</v>
      </c>
      <c r="H7" t="s">
        <v>141</v>
      </c>
      <c r="I7" t="s">
        <v>158</v>
      </c>
      <c r="J7" t="s">
        <v>159</v>
      </c>
      <c r="K7">
        <v>1500</v>
      </c>
      <c r="L7" t="s">
        <v>160</v>
      </c>
      <c r="M7" t="s">
        <v>161</v>
      </c>
      <c r="N7">
        <v>44486.343567777774</v>
      </c>
    </row>
    <row r="8" spans="1:14" x14ac:dyDescent="0.15">
      <c r="A8" t="s">
        <v>207</v>
      </c>
      <c r="B8" t="s">
        <v>208</v>
      </c>
      <c r="C8">
        <v>1996</v>
      </c>
      <c r="D8" t="s">
        <v>209</v>
      </c>
      <c r="E8">
        <v>9784109400046</v>
      </c>
      <c r="F8" t="s">
        <v>190</v>
      </c>
      <c r="G8" t="s">
        <v>191</v>
      </c>
      <c r="H8" t="s">
        <v>141</v>
      </c>
      <c r="I8" t="s">
        <v>162</v>
      </c>
      <c r="J8" t="s">
        <v>163</v>
      </c>
      <c r="K8">
        <v>1200</v>
      </c>
      <c r="L8" t="s">
        <v>164</v>
      </c>
      <c r="M8" t="s">
        <v>165</v>
      </c>
      <c r="N8">
        <v>44486.343568483797</v>
      </c>
    </row>
    <row r="9" spans="1:14" x14ac:dyDescent="0.15">
      <c r="A9" t="s">
        <v>210</v>
      </c>
      <c r="B9" t="s">
        <v>211</v>
      </c>
      <c r="C9">
        <v>1996</v>
      </c>
      <c r="D9" t="s">
        <v>212</v>
      </c>
      <c r="E9">
        <v>9784109400015</v>
      </c>
      <c r="F9" t="s">
        <v>190</v>
      </c>
      <c r="G9" t="s">
        <v>191</v>
      </c>
      <c r="H9" t="s">
        <v>141</v>
      </c>
      <c r="I9" t="s">
        <v>166</v>
      </c>
      <c r="J9" t="s">
        <v>167</v>
      </c>
      <c r="K9">
        <v>2900</v>
      </c>
      <c r="L9" t="s">
        <v>168</v>
      </c>
      <c r="M9" t="s">
        <v>169</v>
      </c>
      <c r="N9">
        <v>44486.343569282406</v>
      </c>
    </row>
    <row r="10" spans="1:14" x14ac:dyDescent="0.15">
      <c r="A10" t="s">
        <v>213</v>
      </c>
      <c r="B10" t="s">
        <v>214</v>
      </c>
      <c r="C10">
        <v>1996</v>
      </c>
      <c r="D10" t="s">
        <v>215</v>
      </c>
      <c r="E10">
        <v>9784109400060</v>
      </c>
      <c r="F10" t="s">
        <v>190</v>
      </c>
      <c r="G10" t="s">
        <v>191</v>
      </c>
      <c r="H10" t="s">
        <v>141</v>
      </c>
      <c r="I10" t="s">
        <v>170</v>
      </c>
      <c r="J10" t="s">
        <v>171</v>
      </c>
      <c r="K10">
        <v>2000</v>
      </c>
      <c r="L10" t="s">
        <v>172</v>
      </c>
      <c r="M10" t="s">
        <v>173</v>
      </c>
      <c r="N10">
        <v>44486.343570023149</v>
      </c>
    </row>
    <row r="11" spans="1:14" x14ac:dyDescent="0.15">
      <c r="A11" t="s">
        <v>216</v>
      </c>
      <c r="B11" t="s">
        <v>217</v>
      </c>
      <c r="C11">
        <v>1996</v>
      </c>
      <c r="D11" t="s">
        <v>218</v>
      </c>
      <c r="E11">
        <v>9784827810912</v>
      </c>
      <c r="F11" t="s">
        <v>219</v>
      </c>
      <c r="G11" t="s">
        <v>191</v>
      </c>
      <c r="H11" t="s">
        <v>141</v>
      </c>
      <c r="I11" t="s">
        <v>174</v>
      </c>
      <c r="J11" t="s">
        <v>175</v>
      </c>
      <c r="K11">
        <v>4900</v>
      </c>
      <c r="L11" t="s">
        <v>176</v>
      </c>
      <c r="M11" t="s">
        <v>177</v>
      </c>
      <c r="N11">
        <v>44486.343570763886</v>
      </c>
    </row>
    <row r="13" spans="1:14" ht="14.25" thickBot="1" x14ac:dyDescent="0.2"/>
    <row r="14" spans="1:14" ht="14.25" thickBot="1" x14ac:dyDescent="0.2">
      <c r="A14" s="26" t="s">
        <v>250</v>
      </c>
      <c r="B14" s="27"/>
      <c r="C14" s="27"/>
      <c r="D14" s="27"/>
      <c r="E14" s="27"/>
      <c r="F14" s="27"/>
      <c r="G14" s="28"/>
      <c r="H14" s="29" t="s">
        <v>251</v>
      </c>
      <c r="I14" s="29"/>
      <c r="J14" s="29"/>
      <c r="K14" s="29"/>
      <c r="L14" s="29"/>
      <c r="M14" s="29"/>
      <c r="N14" s="29"/>
    </row>
    <row r="15" spans="1:14" x14ac:dyDescent="0.15">
      <c r="A15" t="s">
        <v>220</v>
      </c>
      <c r="B15" t="s">
        <v>221</v>
      </c>
      <c r="C15">
        <v>1992</v>
      </c>
      <c r="D15" t="s">
        <v>222</v>
      </c>
      <c r="E15">
        <v>9784793381041</v>
      </c>
      <c r="F15" t="s">
        <v>223</v>
      </c>
      <c r="G15" t="s">
        <v>224</v>
      </c>
      <c r="H15" s="13" t="s">
        <v>178</v>
      </c>
    </row>
    <row r="16" spans="1:14" x14ac:dyDescent="0.15">
      <c r="A16" t="s">
        <v>225</v>
      </c>
      <c r="B16" t="s">
        <v>226</v>
      </c>
      <c r="C16">
        <v>1992</v>
      </c>
      <c r="D16" t="s">
        <v>227</v>
      </c>
      <c r="E16">
        <v>9784793380402</v>
      </c>
      <c r="F16" t="s">
        <v>223</v>
      </c>
      <c r="G16" t="s">
        <v>224</v>
      </c>
      <c r="H16" s="13" t="s">
        <v>179</v>
      </c>
    </row>
    <row r="17" spans="1:8" x14ac:dyDescent="0.15">
      <c r="A17" t="s">
        <v>228</v>
      </c>
      <c r="B17" t="s">
        <v>229</v>
      </c>
      <c r="C17">
        <v>1992</v>
      </c>
      <c r="D17" t="s">
        <v>230</v>
      </c>
      <c r="E17">
        <v>9784793380365</v>
      </c>
      <c r="F17" t="s">
        <v>223</v>
      </c>
      <c r="G17" t="s">
        <v>224</v>
      </c>
      <c r="H17" s="13" t="s">
        <v>180</v>
      </c>
    </row>
    <row r="18" spans="1:8" x14ac:dyDescent="0.15">
      <c r="A18" t="s">
        <v>231</v>
      </c>
      <c r="B18" t="s">
        <v>232</v>
      </c>
      <c r="C18">
        <v>1992</v>
      </c>
      <c r="D18" t="s">
        <v>233</v>
      </c>
      <c r="E18">
        <v>9784793380426</v>
      </c>
      <c r="F18" t="s">
        <v>223</v>
      </c>
      <c r="G18" t="s">
        <v>224</v>
      </c>
      <c r="H18" s="13" t="s">
        <v>181</v>
      </c>
    </row>
    <row r="19" spans="1:8" x14ac:dyDescent="0.15">
      <c r="A19" t="s">
        <v>234</v>
      </c>
      <c r="B19" t="s">
        <v>235</v>
      </c>
      <c r="C19">
        <v>1993</v>
      </c>
      <c r="D19" t="s">
        <v>236</v>
      </c>
      <c r="E19">
        <v>9784793381119</v>
      </c>
      <c r="F19" t="s">
        <v>223</v>
      </c>
      <c r="G19">
        <v>182</v>
      </c>
      <c r="H19" s="13" t="s">
        <v>182</v>
      </c>
    </row>
    <row r="20" spans="1:8" x14ac:dyDescent="0.15">
      <c r="A20" t="s">
        <v>237</v>
      </c>
      <c r="B20" t="s">
        <v>238</v>
      </c>
      <c r="C20">
        <v>1994</v>
      </c>
      <c r="E20">
        <v>9784581249010</v>
      </c>
      <c r="F20" t="s">
        <v>239</v>
      </c>
      <c r="G20">
        <v>182</v>
      </c>
      <c r="H20" s="13" t="s">
        <v>183</v>
      </c>
    </row>
    <row r="21" spans="1:8" x14ac:dyDescent="0.15">
      <c r="A21" t="s">
        <v>240</v>
      </c>
      <c r="B21" t="s">
        <v>241</v>
      </c>
      <c r="C21">
        <v>1994</v>
      </c>
      <c r="D21" t="s">
        <v>242</v>
      </c>
      <c r="E21">
        <v>9784180248087</v>
      </c>
      <c r="F21" t="s">
        <v>243</v>
      </c>
      <c r="G21" t="s">
        <v>224</v>
      </c>
      <c r="H21" s="13" t="s">
        <v>184</v>
      </c>
    </row>
    <row r="22" spans="1:8" x14ac:dyDescent="0.15">
      <c r="A22" t="s">
        <v>244</v>
      </c>
      <c r="B22" t="s">
        <v>245</v>
      </c>
      <c r="C22">
        <v>1995</v>
      </c>
      <c r="D22" t="s">
        <v>246</v>
      </c>
      <c r="E22">
        <v>9784816803178</v>
      </c>
      <c r="F22" t="s">
        <v>247</v>
      </c>
      <c r="G22" t="s">
        <v>224</v>
      </c>
      <c r="H22" s="13" t="s">
        <v>185</v>
      </c>
    </row>
    <row r="23" spans="1:8" x14ac:dyDescent="0.15">
      <c r="A23" t="s">
        <v>248</v>
      </c>
      <c r="B23" t="s">
        <v>249</v>
      </c>
      <c r="C23">
        <v>1995</v>
      </c>
      <c r="D23" t="s">
        <v>246</v>
      </c>
      <c r="E23">
        <v>9784816803277</v>
      </c>
      <c r="F23" t="s">
        <v>247</v>
      </c>
      <c r="G23" t="s">
        <v>224</v>
      </c>
      <c r="H23" s="13" t="s">
        <v>186</v>
      </c>
    </row>
  </sheetData>
  <mergeCells count="4">
    <mergeCell ref="A1:G1"/>
    <mergeCell ref="H1:N1"/>
    <mergeCell ref="A14:G14"/>
    <mergeCell ref="H14:N1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出力csvパターン1</vt:lpstr>
      <vt:lpstr>出力csvパターン2</vt:lpstr>
      <vt:lpstr>共通出力csv1</vt:lpstr>
      <vt:lpstr>共通出力csv2</vt:lpstr>
      <vt:lpstr>照合結果案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y</cp:lastModifiedBy>
  <dcterms:created xsi:type="dcterms:W3CDTF">2006-09-16T00:00:00Z</dcterms:created>
  <dcterms:modified xsi:type="dcterms:W3CDTF">2022-05-12T15:51:09Z</dcterms:modified>
</cp:coreProperties>
</file>