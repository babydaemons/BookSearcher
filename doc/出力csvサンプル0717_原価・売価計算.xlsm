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doc\"/>
    </mc:Choice>
  </mc:AlternateContent>
  <xr:revisionPtr revIDLastSave="0" documentId="8_{FB4BCEAF-1D05-4591-B732-2AE83EA6C962}" xr6:coauthVersionLast="47" xr6:coauthVersionMax="47" xr10:uidLastSave="{00000000-0000-0000-0000-000000000000}"/>
  <bookViews>
    <workbookView xWindow="-120" yWindow="-120" windowWidth="34800" windowHeight="21240" xr2:uid="{00000000-000D-0000-FFFF-FFFF00000000}"/>
  </bookViews>
  <sheets>
    <sheet name="出力csvパターン1" sheetId="3" r:id="rId1"/>
    <sheet name="出力csvパターン2" sheetId="7" r:id="rId2"/>
    <sheet name="共通出力csv1" sheetId="4" r:id="rId3"/>
    <sheet name="共通出力csv2" sheetId="5" r:id="rId4"/>
    <sheet name="照合結果案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3" l="1"/>
  <c r="G9" i="3"/>
  <c r="G10" i="3"/>
  <c r="G11" i="3"/>
  <c r="G12" i="3"/>
  <c r="G13" i="3"/>
  <c r="G14" i="3"/>
  <c r="G15" i="3"/>
  <c r="G16" i="3"/>
  <c r="G7" i="3"/>
  <c r="G4" i="7"/>
  <c r="H3" i="4"/>
  <c r="G4" i="3"/>
</calcChain>
</file>

<file path=xl/sharedStrings.xml><?xml version="1.0" encoding="utf-8"?>
<sst xmlns="http://schemas.openxmlformats.org/spreadsheetml/2006/main" count="529" uniqueCount="252">
  <si>
    <t>商品名</t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</si>
  <si>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</si>
  <si>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</si>
  <si>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</si>
  <si>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</si>
  <si>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</si>
  <si>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</si>
  <si>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</si>
  <si>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</si>
  <si>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</si>
  <si>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</si>
  <si>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</si>
  <si>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</si>
  <si>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</si>
  <si>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</si>
  <si>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</si>
  <si>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</si>
  <si>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</si>
  <si>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</si>
  <si>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</si>
  <si>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</si>
  <si>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</si>
  <si>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</si>
  <si>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</si>
  <si>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</si>
  <si>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</si>
  <si>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</si>
  <si>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</si>
  <si>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</si>
  <si>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</si>
  <si>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</si>
  <si>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</si>
  <si>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</si>
  <si>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</si>
  <si>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</si>
  <si>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</si>
  <si>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</si>
  <si>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</si>
  <si>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</si>
  <si>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</si>
  <si>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</si>
  <si>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</si>
  <si>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</si>
  <si>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</si>
  <si>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</si>
  <si>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</si>
  <si>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</si>
  <si>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</si>
  <si>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</si>
  <si>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</si>
  <si>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</si>
  <si>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</si>
  <si>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</si>
  <si>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</si>
  <si>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</si>
  <si>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</si>
  <si>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</si>
  <si>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</si>
  <si>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</si>
  <si>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</si>
  <si>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</si>
  <si>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</si>
  <si>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</si>
  <si>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</si>
  <si>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</si>
  <si>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</si>
  <si>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</si>
  <si>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</si>
  <si>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</si>
  <si>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</si>
  <si>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</si>
  <si>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</si>
  <si>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</si>
  <si>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</si>
  <si>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</si>
  <si>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</si>
  <si>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</si>
  <si>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</si>
  <si>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</si>
  <si>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</si>
  <si>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</si>
  <si>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</si>
  <si>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</si>
  <si>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</si>
  <si>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</si>
  <si>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</si>
  <si>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</si>
  <si>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</si>
  <si>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</si>
  <si>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</si>
  <si>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</si>
  <si>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</si>
  <si>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</si>
  <si>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</si>
  <si>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</si>
  <si>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</si>
  <si>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</si>
  <si>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</si>
  <si>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</si>
  <si>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</si>
  <si>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</si>
  <si>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</si>
  <si>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</si>
  <si>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</si>
  <si>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</si>
  <si>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</si>
  <si>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</si>
  <si>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</si>
  <si>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</si>
  <si>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</si>
  <si>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</si>
  <si>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</si>
  <si>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</si>
  <si>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</si>
  <si>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</si>
  <si>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</si>
  <si>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</si>
  <si>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</si>
  <si>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</si>
  <si>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</si>
  <si>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</si>
  <si>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</si>
  <si>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</si>
  <si>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</si>
  <si>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</si>
  <si>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</si>
  <si>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</si>
  <si>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</si>
  <si>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</si>
  <si>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</si>
  <si>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</si>
  <si>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</si>
  <si>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</si>
  <si>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</si>
  <si>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ページURL</t>
  </si>
  <si>
    <t>フィールド1_テキスト</t>
  </si>
  <si>
    <t>フィールド1_リンク</t>
  </si>
  <si>
    <t>フィールド2</t>
  </si>
  <si>
    <t>フィールド3</t>
  </si>
  <si>
    <t>フィールド4</t>
  </si>
  <si>
    <t>現在の時刻</t>
  </si>
  <si>
    <t>https://www.kosho.or.jp/products/list.php?transactionid=19852baba35bdaf870c41296d85430ca3c03dcf6&amp;mode=search&amp;pageno=2302&amp;search_pageno=1&amp;product_id=&amp;reset_baseinfo_id=&amp;baseinfo_id=&amp;product_class_id=&amp;quantity=1&amp;from_mode=&amp;search_facet_publisher=&amp;search_word=&amp;search_name=&amp;search_name_matchtype=like&amp;search_author=&amp;search_author_matchtype=like&amp;search_publisher=%E5%AC%B2&amp;search_publisher_matchtype=not_like&amp;search_isbn=&amp;search_published_year_min=2010&amp;search_published_year_max=2022&amp;search_comment4=&amp;search_comment4_matchtype=like&amp;search_book_flg=1&amp;search_price_min=&amp;search_price_max=&amp;search_only_has_stock=1&amp;search_orderby=score&amp;search_sorttype=asc&amp;search_page_max=100&amp;search_image_disp=&amp;search_adult=2&amp;transactionid=19852baba35bdaf870c41296d85430ca3c03dcf6</t>
  </si>
  <si>
    <t>スキャンダルの世界史</t>
  </si>
  <si>
    <t>https://www.kosho.or.jp/products/detail.php?product_id=215412104</t>
  </si>
  <si>
    <t>海野弘                    、文春文庫                    、2012                                、1</t>
  </si>
  <si>
    <t>（文春文庫）初版・カバー</t>
  </si>
  <si>
    <t>海獣水族館─飼育と展示の生物学</t>
  </si>
  <si>
    <t>https://www.kosho.or.jp/products/detail.php?product_id=215410554</t>
  </si>
  <si>
    <t>村山司編著他                    、東海大学出版会                    、平22                                、1冊</t>
  </si>
  <si>
    <t>カバー(僅かヨレ)付　本体少ヤケ　小口少スレ・少汚れ</t>
  </si>
  <si>
    <t>革命と騒乱のエジプト―ソーシャルメディアとピーク・オイルの政治学</t>
  </si>
  <si>
    <t>https://www.kosho.or.jp/products/detail.php?product_id=215410495</t>
  </si>
  <si>
    <t>山本達也                    、慶応義塾大学出版会                    、平26                                、1冊</t>
  </si>
  <si>
    <t>カバー(少ヤケ・少汚れ・僅かヨレ)付　小口僅かスレ</t>
  </si>
  <si>
    <t>カール・フォン・リンネ</t>
  </si>
  <si>
    <t>https://www.kosho.or.jp/products/detail.php?product_id=215410450</t>
  </si>
  <si>
    <t>トミー・イーセスコーグ著　上倉あゆ子訳　武藤文人解説                    、東海大学出版会                    、平23                                、1冊</t>
  </si>
  <si>
    <t>カバー(背少ヨレ)付　表紙僅かヨレ</t>
  </si>
  <si>
    <t>野鳥フィールドノート(BIRDER SPECIAL)</t>
  </si>
  <si>
    <t>https://www.kosho.or.jp/products/detail.php?product_id=215410383</t>
  </si>
  <si>
    <t>水谷高英                    、文一総合出版                    、平23                                、1冊</t>
  </si>
  <si>
    <t>スケッチで楽しむバードウォッチング　カバー(少ヤケ・少破れ)付　本体背少破れ　小口少スレ</t>
  </si>
  <si>
    <t>野鳥写真の撮り方(BIRDER SPECIAL)</t>
  </si>
  <si>
    <t>https://www.kosho.or.jp/products/detail.php?product_id=215410381</t>
  </si>
  <si>
    <t>叶内拓哉                    、文一総合出版                    、平23                                、1冊</t>
  </si>
  <si>
    <t>カバー(少ヤケ)付　本体表紙少スレ・少汚れ　小口少スレ</t>
  </si>
  <si>
    <t>データが語るメディアの国際報道</t>
  </si>
  <si>
    <t>https://www.kosho.or.jp/products/detail.php?product_id=215410367</t>
  </si>
  <si>
    <t>吉田文彦                    、東海大学出版部                    、平26                                、1冊</t>
  </si>
  <si>
    <t>東海大学文学部叢書　カバー(僅かヤケ・僅かヨレ)付</t>
  </si>
  <si>
    <t>ものづくり上方「酒」ばなし</t>
  </si>
  <si>
    <t>https://www.kosho.or.jp/products/detail.php?product_id=215410360</t>
  </si>
  <si>
    <t>松永和浩編著                    、大阪大学出版会                    、平24                                、1冊</t>
  </si>
  <si>
    <t>先駆・革新の系譜と大阪高等工業学校醸造科　大阪大学総合学術博物館叢書8　カバー(僅かヨレ・少汚れ)付　全体少ヤケ　小口少汚れ</t>
  </si>
  <si>
    <t>オーヴ・アラップ─20世紀のマスタービルダー</t>
  </si>
  <si>
    <t>https://www.kosho.or.jp/products/detail.php?product_id=215410346</t>
  </si>
  <si>
    <t>ピーター・ジョーンズ著　渡邉研司訳                    、東海大学出版部                    、平29                                、1冊</t>
  </si>
  <si>
    <t>カバー付　小口少汚れ</t>
  </si>
  <si>
    <t>&lt;mer-item-thumbnail item-name="ronald stoops 写真集「work ronald friends」" src="https://static.mercdn.net/c!/w=240/thumb/photos/m69414645470_1.jpg?1647692748" src-webp="https://static.mercdn.net/c!/w=240,f=webp/thumb/photos/m69414645470_1.jpg?1647692748" alt="ronald stoops 写真集「work ronald friends」のサムネイル" size="fluid" price="17000" radius="" mer-defined=""&gt;&lt;/mer-item-thumbnail&gt;</t>
  </si>
  <si>
    <t>&lt;mer-item-thumbnail item-name="買ってはいけない家と土地" src="https://static.mercdn.net/c!/w=240/thumb/photos/m20061167135_1.jpg?1649268644" src-webp="https://static.mercdn.net/c!/w=240,f=webp/thumb/photos/m20061167135_1.jpg?1649268644" alt="買ってはいけない家と土地のサムネイル" size="fluid" price="480" radius="" mer-defined=""&gt;&lt;/mer-item-thumbnail&gt;</t>
  </si>
  <si>
    <t>&lt;mer-item-thumbnail item-name="★光文社文庫「珈琲城のキネマと事件」井上 雅彦" src="https://static.mercdn.net/c!/w=240/thumb/photos/m57648946403_1.jpg?1645286921" src-webp="https://static.mercdn.net/c!/w=240,f=webp/thumb/photos/m57648946403_1.jpg?1645286921" alt="★光文社文庫「珈琲城のキネマと事件」井上 雅彦のサムネイル" size="fluid" price="300" radius="" mer-defined=""&gt;&lt;/mer-item-thumbnail&gt;</t>
  </si>
  <si>
    <t>&lt;mer-item-thumbnail item-name="左京亜也 高嶺の花は、乱されたい １　他、合計２冊" src="https://static.mercdn.net/c!/w=240/thumb/photos/m32092837234_1.jpg?1649508915" src-webp="https://static.mercdn.net/c!/w=240,f=webp/thumb/photos/m32092837234_1.jpg?1649508915" alt="左京亜也 高嶺の花は、乱されたい １　他、合計２冊のサムネイル" size="fluid" price="1499" radius="" mer-defined=""&gt;&lt;/mer-item-thumbnail&gt;</t>
  </si>
  <si>
    <t>&lt;mer-item-thumbnail item-name="SEVENTEEN ジョシュア 缶バッジ アクスタ" src="https://static.mercdn.net/c!/w=240/thumb/photos/m49950517688_1.jpg?1631529973" src-webp="https://static.mercdn.net/c!/w=240,f=webp/thumb/photos/m49950517688_1.jpg?1631529973" alt="SEVENTEEN ジョシュア 缶バッジ アクスタのサムネイル" size="fluid" price="1555" radius="" mer-defined=""&gt;&lt;/mer-item-thumbnail&gt;</t>
  </si>
  <si>
    <t>&lt;mer-item-thumbnail item-name="ITZY アルバム" src="https://static.mercdn.net/c!/w=240/thumb/photos/m82973741824_1.jpg?1649692045" src-webp="https://static.mercdn.net/c!/w=240,f=webp/thumb/photos/m82973741824_1.jpg?1649692045" alt="ITZY アルバムのサムネイル" size="fluid" price="4300" radius="" mer-defined=""&gt;&lt;/mer-item-thumbnail&gt;</t>
  </si>
  <si>
    <t>&lt;mer-item-thumbnail item-name="THE BEST 展示会 ランダムキーリング ジミン" src="https://static.mercdn.net/c!/w=240/thumb/photos/m52554048003_1.jpg?1649692207" src-webp="https://static.mercdn.net/c!/w=240,f=webp/thumb/photos/m52554048003_1.jpg?1649692207" alt="THE BEST 展示会 ランダムキーリング ジミンのサムネイル" size="fluid" price="1150" radius="" mer-defined=""&gt;&lt;/mer-item-thumbnail&gt;</t>
  </si>
  <si>
    <t>&lt;mer-item-thumbnail item-name="きもの3枚から始める!　着こなし便利帳" src="https://static.mercdn.net/c!/w=240/thumb/photos/m59607210829_1.jpg?1649663851" src-webp="https://static.mercdn.net/c!/w=240,f=webp/thumb/photos/m59607210829_1.jpg?1649663851" alt="きもの3枚から始める!　着こなし便利帳のサムネイル" size="fluid" price="1400" radius="" mer-defined=""&gt;&lt;/mer-item-thumbnail&gt;</t>
  </si>
  <si>
    <t>&lt;mer-item-thumbnail item-name="IVE ジュエルケース　スタシ特典　ウォニョン" src="https://static.mercdn.net/c!/w=240/thumb/photos/m54625664599_1.jpg?1649692398" src-webp="https://static.mercdn.net/c!/w=240,f=webp/thumb/photos/m54625664599_1.jpg?1649692398" alt="IVE ジュエルケース　スタシ特典　ウォニョンのサムネイル" size="fluid" price="4999" radius="" mer-defined=""&gt;&lt;/mer-item-thumbnail&gt;</t>
  </si>
  <si>
    <t>憂国・橋づくし</t>
  </si>
  <si>
    <t>https://www.honyaclub.com/shop/g/g11204604/</t>
  </si>
  <si>
    <t>三島由紀夫</t>
  </si>
  <si>
    <t>新潮社</t>
  </si>
  <si>
    <t>161</t>
  </si>
  <si>
    <t>或る「小倉日記」伝・父系の指</t>
  </si>
  <si>
    <t>https://www.honyaclub.com/shop/g/g11182699/</t>
  </si>
  <si>
    <t>松本清張</t>
  </si>
  <si>
    <t>青竹・おさん</t>
  </si>
  <si>
    <t>https://www.honyaclub.com/shop/g/g11182697/</t>
  </si>
  <si>
    <t>山本周五郎</t>
  </si>
  <si>
    <t>みかぐらうた</t>
  </si>
  <si>
    <t>https://www.honyaclub.com/shop/g/g11379482/</t>
  </si>
  <si>
    <t>天理教道友社</t>
  </si>
  <si>
    <t>自由と民主主義の宣言</t>
  </si>
  <si>
    <t>https://www.honyaclub.com/shop/g/g11164555/</t>
  </si>
  <si>
    <t>日本共産党中央委員会出版局</t>
  </si>
  <si>
    <t>山椒大夫・最後の一句</t>
  </si>
  <si>
    <t>https://www.honyaclub.com/shop/g/g11182703/</t>
  </si>
  <si>
    <t>森鴎外</t>
  </si>
  <si>
    <t>ボッコちゃん・おーいでてこーい</t>
  </si>
  <si>
    <t>https://www.honyaclub.com/shop/g/g11182705/</t>
  </si>
  <si>
    <t>星新一</t>
  </si>
  <si>
    <t>富岳百景・走れメロス</t>
  </si>
  <si>
    <t>https://www.honyaclub.com/shop/g/g11182704/</t>
  </si>
  <si>
    <t>太宰治</t>
  </si>
  <si>
    <t>羅生門・蜘蛛の糸</t>
  </si>
  <si>
    <t>https://www.honyaclub.com/shop/g/g11182708/</t>
  </si>
  <si>
    <t>芥川龍之介</t>
  </si>
  <si>
    <t>幼児期の口唇・口蓋裂の子供たちへの理解のために</t>
  </si>
  <si>
    <t>https://www.honyaclub.com/shop/g/g11287524/</t>
  </si>
  <si>
    <t>日本口唇口蓋裂協会</t>
  </si>
  <si>
    <t>東山書房</t>
  </si>
  <si>
    <t>オツベルと象</t>
  </si>
  <si>
    <t>https://www.honyaclub.com/shop/g/g10868908/</t>
  </si>
  <si>
    <t>宮沢賢治</t>
  </si>
  <si>
    <t>全国学校図書館協議会</t>
  </si>
  <si>
    <t>182</t>
  </si>
  <si>
    <t>想像と妄想</t>
  </si>
  <si>
    <t>https://www.honyaclub.com/shop/g/g10868894/</t>
  </si>
  <si>
    <t>野坂昭如</t>
  </si>
  <si>
    <t>最後の殉教者</t>
  </si>
  <si>
    <t>https://www.honyaclub.com/shop/g/g10868891/</t>
  </si>
  <si>
    <t>遠藤周作</t>
  </si>
  <si>
    <t>広島へのさまざまな旅</t>
  </si>
  <si>
    <t>https://www.honyaclub.com/shop/g/g10868896/</t>
  </si>
  <si>
    <t>大江健三郎</t>
  </si>
  <si>
    <t>瀕死の琵琶湖</t>
  </si>
  <si>
    <t>https://www.honyaclub.com/shop/g/g11474361/</t>
  </si>
  <si>
    <t>立松和平</t>
  </si>
  <si>
    <t>新基礎英語（暗唱文例集）　新訂版</t>
  </si>
  <si>
    <t>https://www.honyaclub.com/shop/g/g10855361/</t>
  </si>
  <si>
    <t>文理</t>
  </si>
  <si>
    <t>にんげん　３年　新訂３版</t>
  </si>
  <si>
    <t>https://www.honyaclub.com/shop/g/g11057011/</t>
  </si>
  <si>
    <t>解放教育研究所</t>
  </si>
  <si>
    <t>明治図書出版</t>
  </si>
  <si>
    <t>助動詞・敬語チェックノート</t>
  </si>
  <si>
    <t>https://www.honyaclub.com/shop/g/g11024675/</t>
  </si>
  <si>
    <t>日栄社編集所</t>
  </si>
  <si>
    <t>日栄社</t>
  </si>
  <si>
    <t>基本英文（文法構文）１５０チェックノート</t>
  </si>
  <si>
    <t>https://www.honyaclub.com/shop/g/g11057607/</t>
  </si>
  <si>
    <t>データベース</t>
    <phoneticPr fontId="1"/>
  </si>
  <si>
    <t>スクレイピングデータ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</si>
</sst>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49" fontId="3" fillId="0" borderId="0" xfId="1" applyNumberFormat="1" applyFont="1"/>
    <xf numFmtId="49" fontId="4" fillId="0" borderId="0" xfId="1" applyNumberFormat="1" applyFont="1"/>
    <xf numFmtId="49" fontId="2" fillId="0" borderId="0" xfId="1" applyNumberFormat="1"/>
    <xf numFmtId="0" fontId="2" fillId="0" borderId="0" xfId="1"/>
    <xf numFmtId="49" fontId="5" fillId="2" borderId="1" xfId="1" applyNumberFormat="1" applyFont="1" applyFill="1" applyBorder="1" applyAlignment="1">
      <alignment horizontal="center" vertical="center"/>
    </xf>
    <xf numFmtId="49" fontId="5" fillId="3" borderId="1" xfId="2" quotePrefix="1" applyNumberFormat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5" fillId="3" borderId="1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1" xfId="1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49" fontId="10" fillId="0" borderId="0" xfId="1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10" fillId="5" borderId="0" xfId="1" applyNumberFormat="1" applyFont="1" applyFill="1" applyAlignment="1">
      <alignment horizontal="center"/>
    </xf>
    <xf numFmtId="49" fontId="9" fillId="5" borderId="1" xfId="2" quotePrefix="1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6"/>
  <sheetViews>
    <sheetView tabSelected="1" workbookViewId="0">
      <selection activeCell="F7" sqref="F7:G16"/>
    </sheetView>
  </sheetViews>
  <sheetFormatPr defaultRowHeight="13.5" x14ac:dyDescent="0.15"/>
  <cols>
    <col min="1" max="1" width="22.5" customWidth="1"/>
    <col min="2" max="2" width="24.375" customWidth="1"/>
    <col min="3" max="3" width="16.125" customWidth="1"/>
    <col min="6" max="6" width="12.37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119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130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  <c r="F7">
        <v>0</v>
      </c>
      <c r="G7" s="22">
        <f>(F7+88+110+330+(F7*0.15))*(IF(F7&gt;20000, "1.52",IF(F7&gt;10000, "1.49",IF(F7&gt;5000, "1.46",IF(F7&gt;3000, "1.43", IF(F7&gt;=1, "1.42", "0"))))))</f>
        <v>0</v>
      </c>
    </row>
    <row r="8" spans="1:52" x14ac:dyDescent="0.15">
      <c r="A8" t="s">
        <v>127</v>
      </c>
      <c r="F8">
        <v>1</v>
      </c>
      <c r="G8" s="22">
        <f>(F8+88+110+330+(F8*0.15))*(IF(F8&gt;20000, "1.52",IF(F8&gt;10000, "1.49",IF(F8&gt;5000, "1.46",IF(F8&gt;3000, "1.43", IF(F8&gt;=1, "1.42", "0"))))))</f>
        <v>751.39299999999992</v>
      </c>
    </row>
    <row r="9" spans="1:52" x14ac:dyDescent="0.15">
      <c r="F9">
        <v>3000</v>
      </c>
      <c r="G9" s="22">
        <f>(F9+88+110+330+(F9*0.15))*(IF(F9&gt;20000, "1.52",IF(F9&gt;10000, "1.49",IF(F9&gt;5000, "1.46",IF(F9&gt;3000, "1.43", IF(F9&gt;=1, "1.42", "0"))))))</f>
        <v>5648.7599999999993</v>
      </c>
    </row>
    <row r="10" spans="1:52" x14ac:dyDescent="0.15">
      <c r="F10">
        <v>3001</v>
      </c>
      <c r="G10" s="22">
        <f>(F10+88+110+330+(F10*0.15))*(IF(F10&gt;20000, "1.52",IF(F10&gt;10000, "1.49",IF(F10&gt;5000, "1.46",IF(F10&gt;3000, "1.43", IF(F10&gt;=1, "1.42", "0"))))))</f>
        <v>5690.1845000000003</v>
      </c>
    </row>
    <row r="11" spans="1:52" x14ac:dyDescent="0.15">
      <c r="F11">
        <v>5000</v>
      </c>
      <c r="G11" s="22">
        <f>(F11+88+110+330+(F11*0.15))*(IF(F11&gt;20000, "1.52",IF(F11&gt;10000, "1.49",IF(F11&gt;5000, "1.46",IF(F11&gt;3000, "1.43", IF(F11&gt;=1, "1.42", "0"))))))</f>
        <v>8977.5399999999991</v>
      </c>
    </row>
    <row r="12" spans="1:52" x14ac:dyDescent="0.15">
      <c r="F12">
        <v>5001</v>
      </c>
      <c r="G12" s="22">
        <f>(F12+88+110+330+(F12*0.15))*(IF(F12&gt;20000, "1.52",IF(F12&gt;10000, "1.49",IF(F12&gt;5000, "1.46",IF(F12&gt;3000, "1.43", IF(F12&gt;=1, "1.42", "0"))))))</f>
        <v>9167.5589999999993</v>
      </c>
    </row>
    <row r="13" spans="1:52" x14ac:dyDescent="0.15">
      <c r="F13">
        <v>10000</v>
      </c>
      <c r="G13" s="22">
        <f>(F13+88+110+330+(F13*0.15))*(IF(F13&gt;20000, "1.52",IF(F13&gt;10000, "1.49",IF(F13&gt;5000, "1.46",IF(F13&gt;3000, "1.43", IF(F13&gt;=1, "1.42", "0"))))))</f>
        <v>17560.88</v>
      </c>
    </row>
    <row r="14" spans="1:52" x14ac:dyDescent="0.15">
      <c r="F14">
        <v>10001</v>
      </c>
      <c r="G14" s="22">
        <f>(F14+88+110+330+(F14*0.15))*(IF(F14&gt;20000, "1.52",IF(F14&gt;10000, "1.49",IF(F14&gt;5000, "1.46",IF(F14&gt;3000, "1.43", IF(F14&gt;=1, "1.42", "0"))))))</f>
        <v>17923.433499999999</v>
      </c>
    </row>
    <row r="15" spans="1:52" x14ac:dyDescent="0.15">
      <c r="F15">
        <v>20000</v>
      </c>
      <c r="G15" s="22">
        <f>(F15+88+110+330+(F15*0.15))*(IF(F15&gt;20000, "1.52",IF(F15&gt;10000, "1.49",IF(F15&gt;5000, "1.46",IF(F15&gt;3000, "1.43", IF(F15&gt;=1, "1.42", "0"))))))</f>
        <v>35056.720000000001</v>
      </c>
    </row>
    <row r="16" spans="1:52" x14ac:dyDescent="0.15">
      <c r="F16">
        <v>20001</v>
      </c>
      <c r="G16" s="22">
        <f>(F16+88+110+330+(F16*0.15))*(IF(F16&gt;20000, "1.52",IF(F16&gt;10000, "1.49",IF(F16&gt;5000, "1.46",IF(F16&gt;3000, "1.43", IF(F16&gt;=1, "1.42", "0"))))))</f>
        <v>35764.308000000005</v>
      </c>
    </row>
  </sheetData>
  <sortState xmlns:xlrd2="http://schemas.microsoft.com/office/spreadsheetml/2017/richdata2" ref="F7:G16">
    <sortCondition ref="F7:F16"/>
  </sortState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dimension ref="A1:AZ8"/>
  <sheetViews>
    <sheetView workbookViewId="0">
      <selection activeCell="F16" sqref="F16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133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129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dimension ref="A1:S7"/>
  <sheetViews>
    <sheetView workbookViewId="0">
      <selection activeCell="A3" sqref="A3"/>
    </sheetView>
  </sheetViews>
  <sheetFormatPr defaultRowHeight="13.5" x14ac:dyDescent="0.15"/>
  <cols>
    <col min="1" max="1" width="20.125" customWidth="1"/>
    <col min="2" max="2" width="8.5" customWidth="1"/>
  </cols>
  <sheetData>
    <row r="1" spans="1:19" s="13" customFormat="1" x14ac:dyDescent="0.15">
      <c r="A1" s="13" t="s">
        <v>45</v>
      </c>
      <c r="B1" s="25" t="s">
        <v>133</v>
      </c>
      <c r="C1" s="13" t="s">
        <v>91</v>
      </c>
      <c r="D1" s="13" t="s">
        <v>92</v>
      </c>
      <c r="E1" s="13" t="s">
        <v>55</v>
      </c>
      <c r="F1" s="13" t="s">
        <v>93</v>
      </c>
      <c r="G1" s="25" t="s">
        <v>133</v>
      </c>
      <c r="H1" s="13" t="s">
        <v>50</v>
      </c>
      <c r="I1" s="13" t="s">
        <v>94</v>
      </c>
      <c r="J1" s="13" t="s">
        <v>95</v>
      </c>
      <c r="K1" s="13" t="s">
        <v>96</v>
      </c>
      <c r="L1" s="13" t="s">
        <v>97</v>
      </c>
      <c r="N1" s="13" t="s">
        <v>98</v>
      </c>
      <c r="P1" s="13" t="s">
        <v>99</v>
      </c>
      <c r="Q1" s="13" t="s">
        <v>100</v>
      </c>
      <c r="R1" s="13" t="s">
        <v>101</v>
      </c>
      <c r="S1" s="13" t="s">
        <v>102</v>
      </c>
    </row>
    <row r="2" spans="1:19" s="13" customFormat="1" x14ac:dyDescent="0.15">
      <c r="A2" s="13" t="s">
        <v>103</v>
      </c>
      <c r="C2" s="13" t="s">
        <v>0</v>
      </c>
      <c r="D2" s="13" t="s">
        <v>104</v>
      </c>
      <c r="E2" s="13" t="s">
        <v>105</v>
      </c>
      <c r="F2" s="13" t="s">
        <v>106</v>
      </c>
      <c r="H2" s="13" t="s">
        <v>107</v>
      </c>
      <c r="I2" s="13" t="s">
        <v>108</v>
      </c>
      <c r="J2" s="13" t="s">
        <v>109</v>
      </c>
      <c r="K2" s="13" t="s">
        <v>110</v>
      </c>
      <c r="L2" s="13" t="s">
        <v>111</v>
      </c>
      <c r="M2" s="13" t="s">
        <v>131</v>
      </c>
      <c r="N2" s="13" t="s">
        <v>112</v>
      </c>
      <c r="O2" s="13" t="s">
        <v>131</v>
      </c>
      <c r="P2" s="13" t="s">
        <v>113</v>
      </c>
      <c r="Q2" s="13" t="s">
        <v>114</v>
      </c>
      <c r="R2" s="13" t="s">
        <v>115</v>
      </c>
      <c r="S2" s="13" t="s">
        <v>116</v>
      </c>
    </row>
    <row r="3" spans="1:19" s="13" customFormat="1" x14ac:dyDescent="0.15">
      <c r="A3" s="21" t="s">
        <v>124</v>
      </c>
      <c r="B3" s="14" t="s">
        <v>125</v>
      </c>
      <c r="E3" s="13">
        <v>1</v>
      </c>
      <c r="F3" s="13">
        <v>10</v>
      </c>
      <c r="G3" s="14" t="s">
        <v>132</v>
      </c>
      <c r="H3" s="13" t="e">
        <f>(G3+88+110+330+550+(G3*0.15))*(IF(G3&gt;20000, "1.52",IF(G3&gt;10000, "1.49",IF(G3&gt;5000, "1.46",IF(G3&gt;3000, "1.43", IF(G3&gt;=1, "1.42", ""))))))</f>
        <v>#VALUE!</v>
      </c>
      <c r="K3" s="13">
        <v>1</v>
      </c>
      <c r="L3" s="13">
        <v>2651</v>
      </c>
      <c r="N3" s="13">
        <v>1460</v>
      </c>
      <c r="P3" s="13">
        <v>4380</v>
      </c>
    </row>
    <row r="4" spans="1:19" x14ac:dyDescent="0.15">
      <c r="A4" s="16" t="s">
        <v>118</v>
      </c>
      <c r="B4" s="17"/>
      <c r="E4" s="19" t="s">
        <v>121</v>
      </c>
      <c r="F4" s="19" t="s">
        <v>121</v>
      </c>
      <c r="G4" s="19"/>
      <c r="H4" s="16" t="s">
        <v>118</v>
      </c>
      <c r="I4" s="20"/>
      <c r="J4" s="20"/>
      <c r="K4" s="19" t="s">
        <v>121</v>
      </c>
      <c r="L4" s="19" t="s">
        <v>121</v>
      </c>
      <c r="M4" s="19"/>
      <c r="N4" s="18" t="s">
        <v>122</v>
      </c>
      <c r="O4" s="18"/>
      <c r="P4" s="18" t="s">
        <v>122</v>
      </c>
    </row>
    <row r="6" spans="1:19" x14ac:dyDescent="0.15">
      <c r="A6" t="s">
        <v>126</v>
      </c>
    </row>
    <row r="7" spans="1:19" x14ac:dyDescent="0.15">
      <c r="A7" t="s">
        <v>127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activeCell="G22" sqref="G22"/>
    </sheetView>
  </sheetViews>
  <sheetFormatPr defaultRowHeight="13.5" x14ac:dyDescent="0.15"/>
  <sheetData>
    <row r="1" spans="1:52" s="4" customFormat="1" ht="14.25" x14ac:dyDescent="0.2">
      <c r="A1" s="1"/>
      <c r="B1" s="15" t="s">
        <v>120</v>
      </c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25" t="s">
        <v>133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9"/>
      <c r="C3" s="6" t="s">
        <v>46</v>
      </c>
      <c r="D3" s="6" t="s">
        <v>47</v>
      </c>
      <c r="E3" s="6" t="s">
        <v>48</v>
      </c>
      <c r="F3" s="9" t="s">
        <v>49</v>
      </c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x14ac:dyDescent="0.15">
      <c r="A4" s="23" t="s">
        <v>124</v>
      </c>
      <c r="B4" s="14" t="s">
        <v>125</v>
      </c>
      <c r="M4" t="s">
        <v>123</v>
      </c>
    </row>
    <row r="5" spans="1:52" x14ac:dyDescent="0.15">
      <c r="A5" s="16" t="s">
        <v>118</v>
      </c>
      <c r="M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208D-3ECC-4E08-8783-AD465FFB3C23}">
  <dimension ref="A1:N23"/>
  <sheetViews>
    <sheetView workbookViewId="0">
      <selection activeCell="H30" sqref="H30"/>
    </sheetView>
  </sheetViews>
  <sheetFormatPr defaultRowHeight="13.5" x14ac:dyDescent="0.15"/>
  <sheetData>
    <row r="1" spans="1:14" ht="14.25" thickBot="1" x14ac:dyDescent="0.2">
      <c r="A1" s="26" t="s">
        <v>250</v>
      </c>
      <c r="B1" s="27"/>
      <c r="C1" s="27"/>
      <c r="D1" s="27"/>
      <c r="E1" s="27"/>
      <c r="F1" s="27"/>
      <c r="G1" s="28"/>
      <c r="H1" s="29" t="s">
        <v>251</v>
      </c>
      <c r="I1" s="29"/>
      <c r="J1" s="29"/>
      <c r="K1" s="29"/>
      <c r="L1" s="29"/>
      <c r="M1" s="29"/>
      <c r="N1" s="29"/>
    </row>
    <row r="2" spans="1:14" x14ac:dyDescent="0.15">
      <c r="A2" t="s">
        <v>187</v>
      </c>
      <c r="B2" t="s">
        <v>188</v>
      </c>
      <c r="C2">
        <v>1996</v>
      </c>
      <c r="D2" t="s">
        <v>189</v>
      </c>
      <c r="E2">
        <v>9784109400114</v>
      </c>
      <c r="F2" t="s">
        <v>190</v>
      </c>
      <c r="G2" t="s">
        <v>191</v>
      </c>
      <c r="H2" t="s">
        <v>134</v>
      </c>
      <c r="I2" t="s">
        <v>135</v>
      </c>
      <c r="J2" t="s">
        <v>136</v>
      </c>
      <c r="K2" t="s">
        <v>137</v>
      </c>
      <c r="L2" t="s">
        <v>138</v>
      </c>
      <c r="M2" t="s">
        <v>139</v>
      </c>
      <c r="N2" t="s">
        <v>140</v>
      </c>
    </row>
    <row r="3" spans="1:14" x14ac:dyDescent="0.15">
      <c r="A3" t="s">
        <v>192</v>
      </c>
      <c r="B3" t="s">
        <v>193</v>
      </c>
      <c r="C3">
        <v>1996</v>
      </c>
      <c r="D3" t="s">
        <v>194</v>
      </c>
      <c r="E3">
        <v>9784109400077</v>
      </c>
      <c r="F3" t="s">
        <v>190</v>
      </c>
      <c r="G3" t="s">
        <v>191</v>
      </c>
      <c r="H3" t="s">
        <v>141</v>
      </c>
      <c r="I3" t="s">
        <v>142</v>
      </c>
      <c r="J3" t="s">
        <v>143</v>
      </c>
      <c r="K3">
        <v>500</v>
      </c>
      <c r="L3" t="s">
        <v>144</v>
      </c>
      <c r="M3" t="s">
        <v>145</v>
      </c>
      <c r="N3">
        <v>44486.343565092589</v>
      </c>
    </row>
    <row r="4" spans="1:14" x14ac:dyDescent="0.15">
      <c r="A4" t="s">
        <v>195</v>
      </c>
      <c r="B4" t="s">
        <v>196</v>
      </c>
      <c r="C4">
        <v>1996</v>
      </c>
      <c r="D4" t="s">
        <v>197</v>
      </c>
      <c r="E4">
        <v>9784109400039</v>
      </c>
      <c r="F4" t="s">
        <v>190</v>
      </c>
      <c r="G4" t="s">
        <v>191</v>
      </c>
      <c r="H4" t="s">
        <v>141</v>
      </c>
      <c r="I4" t="s">
        <v>146</v>
      </c>
      <c r="J4" t="s">
        <v>147</v>
      </c>
      <c r="K4">
        <v>1900</v>
      </c>
      <c r="L4" t="s">
        <v>148</v>
      </c>
      <c r="M4" t="s">
        <v>149</v>
      </c>
      <c r="N4">
        <v>44486.343565960648</v>
      </c>
    </row>
    <row r="5" spans="1:14" x14ac:dyDescent="0.15">
      <c r="A5" t="s">
        <v>198</v>
      </c>
      <c r="B5" t="s">
        <v>199</v>
      </c>
      <c r="C5">
        <v>1996</v>
      </c>
      <c r="E5">
        <v>9784807301614</v>
      </c>
      <c r="F5" t="s">
        <v>200</v>
      </c>
      <c r="G5" t="s">
        <v>191</v>
      </c>
      <c r="H5" t="s">
        <v>141</v>
      </c>
      <c r="I5" t="s">
        <v>150</v>
      </c>
      <c r="J5" t="s">
        <v>151</v>
      </c>
      <c r="K5">
        <v>1000</v>
      </c>
      <c r="L5" t="s">
        <v>152</v>
      </c>
      <c r="M5" t="s">
        <v>153</v>
      </c>
      <c r="N5">
        <v>44486.343566504627</v>
      </c>
    </row>
    <row r="6" spans="1:14" x14ac:dyDescent="0.15">
      <c r="A6" t="s">
        <v>201</v>
      </c>
      <c r="B6" t="s">
        <v>202</v>
      </c>
      <c r="C6">
        <v>1996</v>
      </c>
      <c r="E6">
        <v>9784530014935</v>
      </c>
      <c r="F6" t="s">
        <v>203</v>
      </c>
      <c r="G6" t="s">
        <v>191</v>
      </c>
      <c r="H6" t="s">
        <v>141</v>
      </c>
      <c r="I6" t="s">
        <v>154</v>
      </c>
      <c r="J6" t="s">
        <v>155</v>
      </c>
      <c r="K6">
        <v>1100</v>
      </c>
      <c r="L6" t="s">
        <v>156</v>
      </c>
      <c r="M6" t="s">
        <v>157</v>
      </c>
      <c r="N6">
        <v>44486.343567094904</v>
      </c>
    </row>
    <row r="7" spans="1:14" x14ac:dyDescent="0.15">
      <c r="A7" t="s">
        <v>204</v>
      </c>
      <c r="B7" t="s">
        <v>205</v>
      </c>
      <c r="C7">
        <v>1996</v>
      </c>
      <c r="D7" t="s">
        <v>206</v>
      </c>
      <c r="E7">
        <v>9784109400008</v>
      </c>
      <c r="F7" t="s">
        <v>190</v>
      </c>
      <c r="G7" t="s">
        <v>191</v>
      </c>
      <c r="H7" t="s">
        <v>141</v>
      </c>
      <c r="I7" t="s">
        <v>158</v>
      </c>
      <c r="J7" t="s">
        <v>159</v>
      </c>
      <c r="K7">
        <v>1500</v>
      </c>
      <c r="L7" t="s">
        <v>160</v>
      </c>
      <c r="M7" t="s">
        <v>161</v>
      </c>
      <c r="N7">
        <v>44486.343567777774</v>
      </c>
    </row>
    <row r="8" spans="1:14" x14ac:dyDescent="0.15">
      <c r="A8" t="s">
        <v>207</v>
      </c>
      <c r="B8" t="s">
        <v>208</v>
      </c>
      <c r="C8">
        <v>1996</v>
      </c>
      <c r="D8" t="s">
        <v>209</v>
      </c>
      <c r="E8">
        <v>9784109400046</v>
      </c>
      <c r="F8" t="s">
        <v>190</v>
      </c>
      <c r="G8" t="s">
        <v>191</v>
      </c>
      <c r="H8" t="s">
        <v>141</v>
      </c>
      <c r="I8" t="s">
        <v>162</v>
      </c>
      <c r="J8" t="s">
        <v>163</v>
      </c>
      <c r="K8">
        <v>1200</v>
      </c>
      <c r="L8" t="s">
        <v>164</v>
      </c>
      <c r="M8" t="s">
        <v>165</v>
      </c>
      <c r="N8">
        <v>44486.343568483797</v>
      </c>
    </row>
    <row r="9" spans="1:14" x14ac:dyDescent="0.15">
      <c r="A9" t="s">
        <v>210</v>
      </c>
      <c r="B9" t="s">
        <v>211</v>
      </c>
      <c r="C9">
        <v>1996</v>
      </c>
      <c r="D9" t="s">
        <v>212</v>
      </c>
      <c r="E9">
        <v>9784109400015</v>
      </c>
      <c r="F9" t="s">
        <v>190</v>
      </c>
      <c r="G9" t="s">
        <v>191</v>
      </c>
      <c r="H9" t="s">
        <v>141</v>
      </c>
      <c r="I9" t="s">
        <v>166</v>
      </c>
      <c r="J9" t="s">
        <v>167</v>
      </c>
      <c r="K9">
        <v>2900</v>
      </c>
      <c r="L9" t="s">
        <v>168</v>
      </c>
      <c r="M9" t="s">
        <v>169</v>
      </c>
      <c r="N9">
        <v>44486.343569282406</v>
      </c>
    </row>
    <row r="10" spans="1:14" x14ac:dyDescent="0.15">
      <c r="A10" t="s">
        <v>213</v>
      </c>
      <c r="B10" t="s">
        <v>214</v>
      </c>
      <c r="C10">
        <v>1996</v>
      </c>
      <c r="D10" t="s">
        <v>215</v>
      </c>
      <c r="E10">
        <v>9784109400060</v>
      </c>
      <c r="F10" t="s">
        <v>190</v>
      </c>
      <c r="G10" t="s">
        <v>191</v>
      </c>
      <c r="H10" t="s">
        <v>141</v>
      </c>
      <c r="I10" t="s">
        <v>170</v>
      </c>
      <c r="J10" t="s">
        <v>171</v>
      </c>
      <c r="K10">
        <v>2000</v>
      </c>
      <c r="L10" t="s">
        <v>172</v>
      </c>
      <c r="M10" t="s">
        <v>173</v>
      </c>
      <c r="N10">
        <v>44486.343570023149</v>
      </c>
    </row>
    <row r="11" spans="1:14" x14ac:dyDescent="0.15">
      <c r="A11" t="s">
        <v>216</v>
      </c>
      <c r="B11" t="s">
        <v>217</v>
      </c>
      <c r="C11">
        <v>1996</v>
      </c>
      <c r="D11" t="s">
        <v>218</v>
      </c>
      <c r="E11">
        <v>9784827810912</v>
      </c>
      <c r="F11" t="s">
        <v>219</v>
      </c>
      <c r="G11" t="s">
        <v>191</v>
      </c>
      <c r="H11" t="s">
        <v>141</v>
      </c>
      <c r="I11" t="s">
        <v>174</v>
      </c>
      <c r="J11" t="s">
        <v>175</v>
      </c>
      <c r="K11">
        <v>4900</v>
      </c>
      <c r="L11" t="s">
        <v>176</v>
      </c>
      <c r="M11" t="s">
        <v>177</v>
      </c>
      <c r="N11">
        <v>44486.343570763886</v>
      </c>
    </row>
    <row r="13" spans="1:14" ht="14.25" thickBot="1" x14ac:dyDescent="0.2"/>
    <row r="14" spans="1:14" ht="14.25" thickBot="1" x14ac:dyDescent="0.2">
      <c r="A14" s="26" t="s">
        <v>250</v>
      </c>
      <c r="B14" s="27"/>
      <c r="C14" s="27"/>
      <c r="D14" s="27"/>
      <c r="E14" s="27"/>
      <c r="F14" s="27"/>
      <c r="G14" s="28"/>
      <c r="H14" s="29" t="s">
        <v>251</v>
      </c>
      <c r="I14" s="29"/>
      <c r="J14" s="29"/>
      <c r="K14" s="29"/>
      <c r="L14" s="29"/>
      <c r="M14" s="29"/>
      <c r="N14" s="29"/>
    </row>
    <row r="15" spans="1:14" x14ac:dyDescent="0.15">
      <c r="A15" t="s">
        <v>220</v>
      </c>
      <c r="B15" t="s">
        <v>221</v>
      </c>
      <c r="C15">
        <v>1992</v>
      </c>
      <c r="D15" t="s">
        <v>222</v>
      </c>
      <c r="E15">
        <v>9784793381041</v>
      </c>
      <c r="F15" t="s">
        <v>223</v>
      </c>
      <c r="G15" t="s">
        <v>224</v>
      </c>
      <c r="H15" s="13" t="s">
        <v>178</v>
      </c>
    </row>
    <row r="16" spans="1:14" x14ac:dyDescent="0.15">
      <c r="A16" t="s">
        <v>225</v>
      </c>
      <c r="B16" t="s">
        <v>226</v>
      </c>
      <c r="C16">
        <v>1992</v>
      </c>
      <c r="D16" t="s">
        <v>227</v>
      </c>
      <c r="E16">
        <v>9784793380402</v>
      </c>
      <c r="F16" t="s">
        <v>223</v>
      </c>
      <c r="G16" t="s">
        <v>224</v>
      </c>
      <c r="H16" s="13" t="s">
        <v>179</v>
      </c>
    </row>
    <row r="17" spans="1:8" x14ac:dyDescent="0.15">
      <c r="A17" t="s">
        <v>228</v>
      </c>
      <c r="B17" t="s">
        <v>229</v>
      </c>
      <c r="C17">
        <v>1992</v>
      </c>
      <c r="D17" t="s">
        <v>230</v>
      </c>
      <c r="E17">
        <v>9784793380365</v>
      </c>
      <c r="F17" t="s">
        <v>223</v>
      </c>
      <c r="G17" t="s">
        <v>224</v>
      </c>
      <c r="H17" s="13" t="s">
        <v>180</v>
      </c>
    </row>
    <row r="18" spans="1:8" x14ac:dyDescent="0.15">
      <c r="A18" t="s">
        <v>231</v>
      </c>
      <c r="B18" t="s">
        <v>232</v>
      </c>
      <c r="C18">
        <v>1992</v>
      </c>
      <c r="D18" t="s">
        <v>233</v>
      </c>
      <c r="E18">
        <v>9784793380426</v>
      </c>
      <c r="F18" t="s">
        <v>223</v>
      </c>
      <c r="G18" t="s">
        <v>224</v>
      </c>
      <c r="H18" s="13" t="s">
        <v>181</v>
      </c>
    </row>
    <row r="19" spans="1:8" x14ac:dyDescent="0.15">
      <c r="A19" t="s">
        <v>234</v>
      </c>
      <c r="B19" t="s">
        <v>235</v>
      </c>
      <c r="C19">
        <v>1993</v>
      </c>
      <c r="D19" t="s">
        <v>236</v>
      </c>
      <c r="E19">
        <v>9784793381119</v>
      </c>
      <c r="F19" t="s">
        <v>223</v>
      </c>
      <c r="G19">
        <v>182</v>
      </c>
      <c r="H19" s="13" t="s">
        <v>182</v>
      </c>
    </row>
    <row r="20" spans="1:8" x14ac:dyDescent="0.15">
      <c r="A20" t="s">
        <v>237</v>
      </c>
      <c r="B20" t="s">
        <v>238</v>
      </c>
      <c r="C20">
        <v>1994</v>
      </c>
      <c r="E20">
        <v>9784581249010</v>
      </c>
      <c r="F20" t="s">
        <v>239</v>
      </c>
      <c r="G20">
        <v>182</v>
      </c>
      <c r="H20" s="13" t="s">
        <v>183</v>
      </c>
    </row>
    <row r="21" spans="1:8" x14ac:dyDescent="0.15">
      <c r="A21" t="s">
        <v>240</v>
      </c>
      <c r="B21" t="s">
        <v>241</v>
      </c>
      <c r="C21">
        <v>1994</v>
      </c>
      <c r="D21" t="s">
        <v>242</v>
      </c>
      <c r="E21">
        <v>9784180248087</v>
      </c>
      <c r="F21" t="s">
        <v>243</v>
      </c>
      <c r="G21" t="s">
        <v>224</v>
      </c>
      <c r="H21" s="13" t="s">
        <v>184</v>
      </c>
    </row>
    <row r="22" spans="1:8" x14ac:dyDescent="0.15">
      <c r="A22" t="s">
        <v>244</v>
      </c>
      <c r="B22" t="s">
        <v>245</v>
      </c>
      <c r="C22">
        <v>1995</v>
      </c>
      <c r="D22" t="s">
        <v>246</v>
      </c>
      <c r="E22">
        <v>9784816803178</v>
      </c>
      <c r="F22" t="s">
        <v>247</v>
      </c>
      <c r="G22" t="s">
        <v>224</v>
      </c>
      <c r="H22" s="13" t="s">
        <v>185</v>
      </c>
    </row>
    <row r="23" spans="1:8" x14ac:dyDescent="0.15">
      <c r="A23" t="s">
        <v>248</v>
      </c>
      <c r="B23" t="s">
        <v>249</v>
      </c>
      <c r="C23">
        <v>1995</v>
      </c>
      <c r="D23" t="s">
        <v>246</v>
      </c>
      <c r="E23">
        <v>9784816803277</v>
      </c>
      <c r="F23" t="s">
        <v>247</v>
      </c>
      <c r="G23" t="s">
        <v>224</v>
      </c>
      <c r="H23" s="13" t="s">
        <v>186</v>
      </c>
    </row>
  </sheetData>
  <mergeCells count="4">
    <mergeCell ref="A1:G1"/>
    <mergeCell ref="H1:N1"/>
    <mergeCell ref="A14:G14"/>
    <mergeCell ref="H14:N1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出力csvパターン1</vt:lpstr>
      <vt:lpstr>出力csvパターン2</vt:lpstr>
      <vt:lpstr>共通出力csv1</vt:lpstr>
      <vt:lpstr>共通出力csv2</vt:lpstr>
      <vt:lpstr>照合結果案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shingo</cp:lastModifiedBy>
  <dcterms:created xsi:type="dcterms:W3CDTF">2006-09-16T00:00:00Z</dcterms:created>
  <dcterms:modified xsi:type="dcterms:W3CDTF">2022-07-17T02:00:26Z</dcterms:modified>
</cp:coreProperties>
</file>